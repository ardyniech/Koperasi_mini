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CF" sheetId="2" state="visible" r:id="rId2"/>
    <sheet name="Amortization" sheetId="3" state="visible" r:id="rId3"/>
    <sheet name="Me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onsolas"/>
      <b val="1"/>
      <color rgb="00FFFFFF"/>
      <sz val="16"/>
    </font>
    <font>
      <name val="Consolas"/>
      <b val="1"/>
      <color rgb="003B82F6"/>
      <sz val="14"/>
    </font>
    <font>
      <name val="Consolas"/>
      <b val="1"/>
      <color rgb="0010B981"/>
      <sz val="14"/>
    </font>
    <font>
      <name val="Consolas"/>
      <b val="1"/>
      <sz val="14"/>
    </font>
    <font>
      <name val="Consolas"/>
      <b val="1"/>
      <color rgb="00FFFFFF"/>
      <sz val="14"/>
    </font>
    <font>
      <name val="Consolas"/>
      <b val="1"/>
      <color rgb="00FFFFFF"/>
    </font>
    <font>
      <name val="Consolas"/>
      <b val="1"/>
      <color rgb="0010B981"/>
      <sz val="16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3" fontId="3" fillId="0" borderId="1" pivotButton="0" quotePrefix="0" xfId="0"/>
    <xf numFmtId="3" fontId="2" fillId="0" borderId="1" pivotButton="0" quotePrefix="0" xfId="0"/>
    <xf numFmtId="0" fontId="4" fillId="0" borderId="1" pivotButton="0" quotePrefix="0" xfId="0"/>
    <xf numFmtId="0" fontId="5" fillId="2" borderId="0" pivotButton="0" quotePrefix="0" xfId="0"/>
    <xf numFmtId="0" fontId="6" fillId="3" borderId="0" pivotButton="0" quotePrefix="0" xfId="0"/>
    <xf numFmtId="3" fontId="0" fillId="0" borderId="1" pivotButton="0" quotePrefix="0" xfId="0"/>
    <xf numFmtId="164" fontId="0" fillId="0" borderId="1" pivotButton="0" quotePrefix="0" xfId="0"/>
    <xf numFmtId="10" fontId="2" fillId="0" borderId="1" pivotButton="0" quotePrefix="0" xfId="0"/>
    <xf numFmtId="3" fontId="0" fillId="0" borderId="0" pivotButton="0" quotePrefix="0" xfId="0"/>
    <xf numFmtId="3" fontId="7" fillId="0" borderId="1" pivotButton="0" quotePrefix="0" xfId="0"/>
    <xf numFmtId="0" fontId="6" fillId="3" borderId="1" pivotButton="0" quotePrefix="0" xfId="0"/>
    <xf numFmtId="0" fontId="8" fillId="0" borderId="1" pivotButton="0" quotePrefix="0" xfId="0"/>
    <xf numFmtId="3" fontId="8" fillId="0" borderId="1" pivotButton="0" quotePrefix="0" xfId="0"/>
    <xf numFmtId="1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KOPERASI MINI - REAL FORMULAS</t>
        </is>
      </c>
    </row>
    <row r="3">
      <c r="A3" s="2" t="inlineStr">
        <is>
          <t>Total Members:</t>
        </is>
      </c>
      <c r="B3" s="3">
        <f>COUNTA(Members!A:A)-3</f>
        <v/>
      </c>
    </row>
    <row r="4">
      <c r="A4" s="2" t="inlineStr">
        <is>
          <t>Total Savings (Rp):</t>
        </is>
      </c>
      <c r="B4" s="4">
        <f>SUM(Members!F:F)</f>
        <v/>
      </c>
    </row>
    <row r="5">
      <c r="A5" s="2" t="inlineStr">
        <is>
          <t>Total Loans (Rp):</t>
        </is>
      </c>
      <c r="B5" s="5">
        <f>SUM(Members!G:G)</f>
        <v/>
      </c>
    </row>
    <row r="6">
      <c r="A6" s="2" t="inlineStr">
        <is>
          <t>Avg Credit Score:</t>
        </is>
      </c>
      <c r="B6" s="6">
        <f>AVERAGE(Members!D:D)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DCF VALUATION</t>
        </is>
      </c>
    </row>
    <row r="3">
      <c r="A3" s="8" t="inlineStr">
        <is>
          <t>Year</t>
        </is>
      </c>
      <c r="B3" s="8" t="inlineStr">
        <is>
          <t>Cash Flow</t>
        </is>
      </c>
      <c r="C3" s="8" t="inlineStr">
        <is>
          <t>Disc Factor</t>
        </is>
      </c>
      <c r="D3" s="8" t="inlineStr">
        <is>
          <t>PV</t>
        </is>
      </c>
    </row>
    <row r="4">
      <c r="A4" s="2" t="n">
        <v>0</v>
      </c>
      <c r="B4" s="9" t="n">
        <v>-15000000000</v>
      </c>
      <c r="C4" s="10">
        <f>1/(1.1^A4)</f>
        <v/>
      </c>
      <c r="D4" s="9">
        <f>B4*C4</f>
        <v/>
      </c>
    </row>
    <row r="5">
      <c r="A5" s="2" t="n">
        <v>1</v>
      </c>
      <c r="B5" s="9" t="n">
        <v>5000000000</v>
      </c>
      <c r="C5" s="10">
        <f>1/(1.1^A5)</f>
        <v/>
      </c>
      <c r="D5" s="9">
        <f>B5*C5</f>
        <v/>
      </c>
    </row>
    <row r="6">
      <c r="A6" s="2" t="n">
        <v>2</v>
      </c>
      <c r="B6" s="9" t="n">
        <v>6000000000</v>
      </c>
      <c r="C6" s="10">
        <f>1/(1.1^A6)</f>
        <v/>
      </c>
      <c r="D6" s="9">
        <f>B6*C6</f>
        <v/>
      </c>
    </row>
    <row r="7">
      <c r="A7" s="2" t="n">
        <v>3</v>
      </c>
      <c r="B7" s="9" t="n">
        <v>7000000000</v>
      </c>
      <c r="C7" s="10">
        <f>1/(1.1^A7)</f>
        <v/>
      </c>
      <c r="D7" s="9">
        <f>B7*C7</f>
        <v/>
      </c>
    </row>
    <row r="8">
      <c r="A8" s="2" t="n">
        <v>4</v>
      </c>
      <c r="B8" s="9" t="n">
        <v>13000000000</v>
      </c>
      <c r="C8" s="10">
        <f>1/(1.1^A8)</f>
        <v/>
      </c>
      <c r="D8" s="9">
        <f>B8*C8</f>
        <v/>
      </c>
    </row>
    <row r="10">
      <c r="A10" t="inlineStr">
        <is>
          <t>NPV (10%):</t>
        </is>
      </c>
      <c r="B10" s="4">
        <f>NPV(0.1, B4:B8)</f>
        <v/>
      </c>
    </row>
    <row r="11">
      <c r="A11" t="inlineStr">
        <is>
          <t>IRR:</t>
        </is>
      </c>
      <c r="B11" s="11">
        <f>IRR(B4:B8)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AMORTIZATION (PMT Formula)</t>
        </is>
      </c>
    </row>
    <row r="3">
      <c r="A3" t="inlineStr">
        <is>
          <t>Principal:</t>
        </is>
      </c>
      <c r="B3" s="12" t="n">
        <v>100000000</v>
      </c>
    </row>
    <row r="4">
      <c r="A4" t="inlineStr">
        <is>
          <t>Rate (%):</t>
        </is>
      </c>
      <c r="B4" t="n">
        <v>10</v>
      </c>
    </row>
    <row r="5">
      <c r="A5" t="inlineStr">
        <is>
          <t>Tenor (months):</t>
        </is>
      </c>
      <c r="B5" t="n">
        <v>12</v>
      </c>
    </row>
    <row r="7">
      <c r="A7" t="inlineStr">
        <is>
          <t>Monthly Payment:</t>
        </is>
      </c>
      <c r="B7" s="13">
        <f>PMT(B4/100/12, B5, -B3)</f>
        <v/>
      </c>
    </row>
    <row r="9">
      <c r="A9" s="14" t="inlineStr">
        <is>
          <t>Period</t>
        </is>
      </c>
      <c r="B9" s="14" t="inlineStr">
        <is>
          <t>Beg Bal</t>
        </is>
      </c>
      <c r="C9" s="14" t="inlineStr">
        <is>
          <t>Principal</t>
        </is>
      </c>
      <c r="D9" s="14" t="inlineStr">
        <is>
          <t>Margin</t>
        </is>
      </c>
      <c r="E9" s="14" t="inlineStr">
        <is>
          <t>Payment</t>
        </is>
      </c>
      <c r="F9" s="14" t="inlineStr">
        <is>
          <t>End Bal</t>
        </is>
      </c>
    </row>
    <row r="10">
      <c r="A10" s="2" t="n">
        <v>1</v>
      </c>
      <c r="B10" s="9">
        <f>$B$3</f>
        <v/>
      </c>
      <c r="C10" s="9">
        <f>$B$7*($B$3/($B$3+$B$3*0.1))</f>
        <v/>
      </c>
      <c r="D10" s="9">
        <f>$B$7-C10</f>
        <v/>
      </c>
      <c r="E10" s="9">
        <f>$B$7</f>
        <v/>
      </c>
      <c r="F10" s="9">
        <f>B10-C10</f>
        <v/>
      </c>
    </row>
    <row r="11">
      <c r="A11" s="2" t="n">
        <v>2</v>
      </c>
      <c r="B11" s="9">
        <f>F10</f>
        <v/>
      </c>
      <c r="C11" s="9">
        <f>$B$7*($B$3/($B$3+$B$3*0.1))</f>
        <v/>
      </c>
      <c r="D11" s="9">
        <f>$B$7-C11</f>
        <v/>
      </c>
      <c r="E11" s="9">
        <f>$B$7</f>
        <v/>
      </c>
      <c r="F11" s="9">
        <f>B11-C11</f>
        <v/>
      </c>
    </row>
    <row r="12">
      <c r="A12" s="2" t="n">
        <v>3</v>
      </c>
      <c r="B12" s="9">
        <f>F11</f>
        <v/>
      </c>
      <c r="C12" s="9">
        <f>$B$7*($B$3/($B$3+$B$3*0.1))</f>
        <v/>
      </c>
      <c r="D12" s="9">
        <f>$B$7-C12</f>
        <v/>
      </c>
      <c r="E12" s="9">
        <f>$B$7</f>
        <v/>
      </c>
      <c r="F12" s="9">
        <f>B12-C12</f>
        <v/>
      </c>
    </row>
    <row r="13">
      <c r="A13" s="2" t="n">
        <v>4</v>
      </c>
      <c r="B13" s="9">
        <f>F12</f>
        <v/>
      </c>
      <c r="C13" s="9">
        <f>$B$7*($B$3/($B$3+$B$3*0.1))</f>
        <v/>
      </c>
      <c r="D13" s="9">
        <f>$B$7-C13</f>
        <v/>
      </c>
      <c r="E13" s="9">
        <f>$B$7</f>
        <v/>
      </c>
      <c r="F13" s="9">
        <f>B13-C13</f>
        <v/>
      </c>
    </row>
    <row r="14">
      <c r="A14" s="2" t="n">
        <v>5</v>
      </c>
      <c r="B14" s="9">
        <f>F13</f>
        <v/>
      </c>
      <c r="C14" s="9">
        <f>$B$7*($B$3/($B$3+$B$3*0.1))</f>
        <v/>
      </c>
      <c r="D14" s="9">
        <f>$B$7-C14</f>
        <v/>
      </c>
      <c r="E14" s="9">
        <f>$B$7</f>
        <v/>
      </c>
      <c r="F14" s="9">
        <f>B14-C14</f>
        <v/>
      </c>
    </row>
    <row r="15">
      <c r="A15" s="2" t="n">
        <v>6</v>
      </c>
      <c r="B15" s="9">
        <f>F14</f>
        <v/>
      </c>
      <c r="C15" s="9">
        <f>$B$7*($B$3/($B$3+$B$3*0.1))</f>
        <v/>
      </c>
      <c r="D15" s="9">
        <f>$B$7-C15</f>
        <v/>
      </c>
      <c r="E15" s="9">
        <f>$B$7</f>
        <v/>
      </c>
      <c r="F15" s="9">
        <f>B15-C15</f>
        <v/>
      </c>
    </row>
    <row r="16">
      <c r="A16" s="2" t="n">
        <v>7</v>
      </c>
      <c r="B16" s="9">
        <f>F15</f>
        <v/>
      </c>
      <c r="C16" s="9">
        <f>$B$7*($B$3/($B$3+$B$3*0.1))</f>
        <v/>
      </c>
      <c r="D16" s="9">
        <f>$B$7-C16</f>
        <v/>
      </c>
      <c r="E16" s="9">
        <f>$B$7</f>
        <v/>
      </c>
      <c r="F16" s="9">
        <f>B16-C16</f>
        <v/>
      </c>
    </row>
    <row r="17">
      <c r="A17" s="2" t="n">
        <v>8</v>
      </c>
      <c r="B17" s="9">
        <f>F16</f>
        <v/>
      </c>
      <c r="C17" s="9">
        <f>$B$7*($B$3/($B$3+$B$3*0.1))</f>
        <v/>
      </c>
      <c r="D17" s="9">
        <f>$B$7-C17</f>
        <v/>
      </c>
      <c r="E17" s="9">
        <f>$B$7</f>
        <v/>
      </c>
      <c r="F17" s="9">
        <f>B17-C17</f>
        <v/>
      </c>
    </row>
    <row r="18">
      <c r="A18" s="2" t="n">
        <v>9</v>
      </c>
      <c r="B18" s="9">
        <f>F17</f>
        <v/>
      </c>
      <c r="C18" s="9">
        <f>$B$7*($B$3/($B$3+$B$3*0.1))</f>
        <v/>
      </c>
      <c r="D18" s="9">
        <f>$B$7-C18</f>
        <v/>
      </c>
      <c r="E18" s="9">
        <f>$B$7</f>
        <v/>
      </c>
      <c r="F18" s="9">
        <f>B18-C18</f>
        <v/>
      </c>
    </row>
    <row r="19">
      <c r="A19" s="2" t="n">
        <v>10</v>
      </c>
      <c r="B19" s="9">
        <f>F18</f>
        <v/>
      </c>
      <c r="C19" s="9">
        <f>$B$7*($B$3/($B$3+$B$3*0.1))</f>
        <v/>
      </c>
      <c r="D19" s="9">
        <f>$B$7-C19</f>
        <v/>
      </c>
      <c r="E19" s="9">
        <f>$B$7</f>
        <v/>
      </c>
      <c r="F19" s="9">
        <f>B19-C19</f>
        <v/>
      </c>
    </row>
    <row r="20">
      <c r="A20" s="2" t="n">
        <v>11</v>
      </c>
      <c r="B20" s="9">
        <f>F19</f>
        <v/>
      </c>
      <c r="C20" s="9">
        <f>$B$7*($B$3/($B$3+$B$3*0.1))</f>
        <v/>
      </c>
      <c r="D20" s="9">
        <f>$B$7-C20</f>
        <v/>
      </c>
      <c r="E20" s="9">
        <f>$B$7</f>
        <v/>
      </c>
      <c r="F20" s="9">
        <f>B20-C20</f>
        <v/>
      </c>
    </row>
    <row r="21">
      <c r="A21" s="2" t="n">
        <v>12</v>
      </c>
      <c r="B21" s="9">
        <f>F20</f>
        <v/>
      </c>
      <c r="C21" s="9">
        <f>$B$7*($B$3/($B$3+$B$3*0.1))</f>
        <v/>
      </c>
      <c r="D21" s="9">
        <f>$B$7-C21</f>
        <v/>
      </c>
      <c r="E21" s="9">
        <f>$B$7</f>
        <v/>
      </c>
      <c r="F21" s="9">
        <f>B21-C21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MEMBERS DATA (100 Records)</t>
        </is>
      </c>
    </row>
    <row r="3">
      <c r="A3" s="14" t="inlineStr">
        <is>
          <t>ID</t>
        </is>
      </c>
      <c r="B3" s="14" t="inlineStr">
        <is>
          <t>Name</t>
        </is>
      </c>
      <c r="C3" s="14" t="inlineStr">
        <is>
          <t>Salary</t>
        </is>
      </c>
      <c r="D3" s="14" t="inlineStr">
        <is>
          <t>Credit Score</t>
        </is>
      </c>
      <c r="E3" s="14" t="inlineStr">
        <is>
          <t>Status</t>
        </is>
      </c>
      <c r="F3" s="14" t="inlineStr">
        <is>
          <t>Savings</t>
        </is>
      </c>
      <c r="G3" s="14" t="inlineStr">
        <is>
          <t>Loans</t>
        </is>
      </c>
      <c r="H3" s="14" t="inlineStr">
        <is>
          <t>Total</t>
        </is>
      </c>
      <c r="I3" s="14" t="inlineStr">
        <is>
          <t>Risk</t>
        </is>
      </c>
      <c r="J3" s="14" t="inlineStr">
        <is>
          <t>PD</t>
        </is>
      </c>
    </row>
    <row r="4">
      <c r="A4" s="15" t="inlineStr">
        <is>
          <t>KMS0000</t>
        </is>
      </c>
      <c r="B4" s="15" t="inlineStr">
        <is>
          <t>Anggota 1</t>
        </is>
      </c>
      <c r="C4" s="16" t="n">
        <v>15720120</v>
      </c>
      <c r="D4" s="15" t="n">
        <v>580</v>
      </c>
      <c r="E4" s="15" t="inlineStr">
        <is>
          <t>Nonaktif</t>
        </is>
      </c>
      <c r="F4" s="16" t="n">
        <v>34723261</v>
      </c>
      <c r="G4" s="16">
        <f>F4*0.8</f>
        <v/>
      </c>
      <c r="H4" s="16">
        <f>F4+G4</f>
        <v/>
      </c>
      <c r="I4" s="15">
        <f>IF(D4&gt;700,"Prime",IF(D4&gt;650,"Good","Fair"))</f>
        <v/>
      </c>
      <c r="J4" s="17">
        <f>1/(1+EXP(0.1*(D4-650)))</f>
        <v/>
      </c>
    </row>
    <row r="5">
      <c r="A5" s="15" t="inlineStr">
        <is>
          <t>KMS0001</t>
        </is>
      </c>
      <c r="B5" s="15" t="inlineStr">
        <is>
          <t>Anggota 2</t>
        </is>
      </c>
      <c r="C5" s="16" t="n">
        <v>22173920</v>
      </c>
      <c r="D5" s="15" t="n">
        <v>793</v>
      </c>
      <c r="E5" s="15" t="inlineStr">
        <is>
          <t>Aktif</t>
        </is>
      </c>
      <c r="F5" s="16" t="n">
        <v>44432734</v>
      </c>
      <c r="G5" s="16">
        <f>F5*0.8</f>
        <v/>
      </c>
      <c r="H5" s="16">
        <f>F5+G5</f>
        <v/>
      </c>
      <c r="I5" s="15">
        <f>IF(D5&gt;700,"Prime",IF(D5&gt;650,"Good","Fair"))</f>
        <v/>
      </c>
      <c r="J5" s="17">
        <f>1/(1+EXP(0.1*(D5-650)))</f>
        <v/>
      </c>
    </row>
    <row r="6">
      <c r="A6" s="15" t="inlineStr">
        <is>
          <t>KMS0002</t>
        </is>
      </c>
      <c r="B6" s="15" t="inlineStr">
        <is>
          <t>Anggota 3</t>
        </is>
      </c>
      <c r="C6" s="16" t="n">
        <v>8443921</v>
      </c>
      <c r="D6" s="15" t="n">
        <v>770</v>
      </c>
      <c r="E6" s="15" t="inlineStr">
        <is>
          <t>Aktif</t>
        </is>
      </c>
      <c r="F6" s="16" t="n">
        <v>15984372</v>
      </c>
      <c r="G6" s="16">
        <f>F6*0.8</f>
        <v/>
      </c>
      <c r="H6" s="16">
        <f>F6+G6</f>
        <v/>
      </c>
      <c r="I6" s="15">
        <f>IF(D6&gt;700,"Prime",IF(D6&gt;650,"Good","Fair"))</f>
        <v/>
      </c>
      <c r="J6" s="17">
        <f>1/(1+EXP(0.1*(D6-650)))</f>
        <v/>
      </c>
    </row>
    <row r="7">
      <c r="A7" s="15" t="inlineStr">
        <is>
          <t>KMS0003</t>
        </is>
      </c>
      <c r="B7" s="15" t="inlineStr">
        <is>
          <t>Anggota 4</t>
        </is>
      </c>
      <c r="C7" s="16" t="n">
        <v>25167242</v>
      </c>
      <c r="D7" s="15" t="n">
        <v>779</v>
      </c>
      <c r="E7" s="15" t="inlineStr">
        <is>
          <t>Aktif</t>
        </is>
      </c>
      <c r="F7" s="16" t="n">
        <v>42707092</v>
      </c>
      <c r="G7" s="16">
        <f>F7*0.8</f>
        <v/>
      </c>
      <c r="H7" s="16">
        <f>F7+G7</f>
        <v/>
      </c>
      <c r="I7" s="15">
        <f>IF(D7&gt;700,"Prime",IF(D7&gt;650,"Good","Fair"))</f>
        <v/>
      </c>
      <c r="J7" s="17">
        <f>1/(1+EXP(0.1*(D7-650)))</f>
        <v/>
      </c>
    </row>
    <row r="8">
      <c r="A8" s="15" t="inlineStr">
        <is>
          <t>KMS0004</t>
        </is>
      </c>
      <c r="B8" s="15" t="inlineStr">
        <is>
          <t>Anggota 5</t>
        </is>
      </c>
      <c r="C8" s="16" t="n">
        <v>19113495</v>
      </c>
      <c r="D8" s="15" t="n">
        <v>692</v>
      </c>
      <c r="E8" s="15" t="inlineStr">
        <is>
          <t>Aktif</t>
        </is>
      </c>
      <c r="F8" s="16" t="n">
        <v>39424442</v>
      </c>
      <c r="G8" s="16">
        <f>F8*0.8</f>
        <v/>
      </c>
      <c r="H8" s="16">
        <f>F8+G8</f>
        <v/>
      </c>
      <c r="I8" s="15">
        <f>IF(D8&gt;700,"Prime",IF(D8&gt;650,"Good","Fair"))</f>
        <v/>
      </c>
      <c r="J8" s="17">
        <f>1/(1+EXP(0.1*(D8-650)))</f>
        <v/>
      </c>
    </row>
    <row r="9">
      <c r="A9" s="15" t="inlineStr">
        <is>
          <t>KMS0005</t>
        </is>
      </c>
      <c r="B9" s="15" t="inlineStr">
        <is>
          <t>Anggota 6</t>
        </is>
      </c>
      <c r="C9" s="16" t="n">
        <v>29512820</v>
      </c>
      <c r="D9" s="15" t="n">
        <v>690</v>
      </c>
      <c r="E9" s="15" t="inlineStr">
        <is>
          <t>Aktif</t>
        </is>
      </c>
      <c r="F9" s="16" t="n">
        <v>33944036</v>
      </c>
      <c r="G9" s="16">
        <f>F9*0.8</f>
        <v/>
      </c>
      <c r="H9" s="16">
        <f>F9+G9</f>
        <v/>
      </c>
      <c r="I9" s="15">
        <f>IF(D9&gt;700,"Prime",IF(D9&gt;650,"Good","Fair"))</f>
        <v/>
      </c>
      <c r="J9" s="17">
        <f>1/(1+EXP(0.1*(D9-650)))</f>
        <v/>
      </c>
    </row>
    <row r="10">
      <c r="A10" s="15" t="inlineStr">
        <is>
          <t>KMS0006</t>
        </is>
      </c>
      <c r="B10" s="15" t="inlineStr">
        <is>
          <t>Anggota 7</t>
        </is>
      </c>
      <c r="C10" s="16" t="n">
        <v>24680373</v>
      </c>
      <c r="D10" s="15" t="n">
        <v>742</v>
      </c>
      <c r="E10" s="15" t="inlineStr">
        <is>
          <t>Aktif</t>
        </is>
      </c>
      <c r="F10" s="16" t="n">
        <v>30601384</v>
      </c>
      <c r="G10" s="16">
        <f>F10*0.8</f>
        <v/>
      </c>
      <c r="H10" s="16">
        <f>F10+G10</f>
        <v/>
      </c>
      <c r="I10" s="15">
        <f>IF(D10&gt;700,"Prime",IF(D10&gt;650,"Good","Fair"))</f>
        <v/>
      </c>
      <c r="J10" s="17">
        <f>1/(1+EXP(0.1*(D10-650)))</f>
        <v/>
      </c>
    </row>
    <row r="11">
      <c r="A11" s="15" t="inlineStr">
        <is>
          <t>KMS0007</t>
        </is>
      </c>
      <c r="B11" s="15" t="inlineStr">
        <is>
          <t>Anggota 8</t>
        </is>
      </c>
      <c r="C11" s="16" t="n">
        <v>5085055</v>
      </c>
      <c r="D11" s="15" t="n">
        <v>611</v>
      </c>
      <c r="E11" s="15" t="inlineStr">
        <is>
          <t>Aktif</t>
        </is>
      </c>
      <c r="F11" s="16" t="n">
        <v>42218551</v>
      </c>
      <c r="G11" s="16">
        <f>F11*0.8</f>
        <v/>
      </c>
      <c r="H11" s="16">
        <f>F11+G11</f>
        <v/>
      </c>
      <c r="I11" s="15">
        <f>IF(D11&gt;700,"Prime",IF(D11&gt;650,"Good","Fair"))</f>
        <v/>
      </c>
      <c r="J11" s="17">
        <f>1/(1+EXP(0.1*(D11-650)))</f>
        <v/>
      </c>
    </row>
    <row r="12">
      <c r="A12" s="15" t="inlineStr">
        <is>
          <t>KMS0008</t>
        </is>
      </c>
      <c r="B12" s="15" t="inlineStr">
        <is>
          <t>Anggota 9</t>
        </is>
      </c>
      <c r="C12" s="16" t="n">
        <v>8715701</v>
      </c>
      <c r="D12" s="15" t="n">
        <v>570</v>
      </c>
      <c r="E12" s="15" t="inlineStr">
        <is>
          <t>Nonaktif</t>
        </is>
      </c>
      <c r="F12" s="16" t="n">
        <v>20276364</v>
      </c>
      <c r="G12" s="16">
        <f>F12*0.8</f>
        <v/>
      </c>
      <c r="H12" s="16">
        <f>F12+G12</f>
        <v/>
      </c>
      <c r="I12" s="15">
        <f>IF(D12&gt;700,"Prime",IF(D12&gt;650,"Good","Fair"))</f>
        <v/>
      </c>
      <c r="J12" s="17">
        <f>1/(1+EXP(0.1*(D12-650)))</f>
        <v/>
      </c>
    </row>
    <row r="13">
      <c r="A13" s="15" t="inlineStr">
        <is>
          <t>KMS0009</t>
        </is>
      </c>
      <c r="B13" s="15" t="inlineStr">
        <is>
          <t>Anggota 10</t>
        </is>
      </c>
      <c r="C13" s="16" t="n">
        <v>8290066</v>
      </c>
      <c r="D13" s="15" t="n">
        <v>759</v>
      </c>
      <c r="E13" s="15" t="inlineStr">
        <is>
          <t>Aktif</t>
        </is>
      </c>
      <c r="F13" s="16" t="n">
        <v>31175825</v>
      </c>
      <c r="G13" s="16">
        <f>F13*0.8</f>
        <v/>
      </c>
      <c r="H13" s="16">
        <f>F13+G13</f>
        <v/>
      </c>
      <c r="I13" s="15">
        <f>IF(D13&gt;700,"Prime",IF(D13&gt;650,"Good","Fair"))</f>
        <v/>
      </c>
      <c r="J13" s="17">
        <f>1/(1+EXP(0.1*(D13-650)))</f>
        <v/>
      </c>
    </row>
    <row r="14">
      <c r="A14" s="15" t="inlineStr">
        <is>
          <t>KMS0010</t>
        </is>
      </c>
      <c r="B14" s="15" t="inlineStr">
        <is>
          <t>Anggota 11</t>
        </is>
      </c>
      <c r="C14" s="16" t="n">
        <v>27990760</v>
      </c>
      <c r="D14" s="15" t="n">
        <v>552</v>
      </c>
      <c r="E14" s="15" t="inlineStr">
        <is>
          <t>Nonaktif</t>
        </is>
      </c>
      <c r="F14" s="16" t="n">
        <v>33902585</v>
      </c>
      <c r="G14" s="16">
        <f>F14*0.8</f>
        <v/>
      </c>
      <c r="H14" s="16">
        <f>F14+G14</f>
        <v/>
      </c>
      <c r="I14" s="15">
        <f>IF(D14&gt;700,"Prime",IF(D14&gt;650,"Good","Fair"))</f>
        <v/>
      </c>
      <c r="J14" s="17">
        <f>1/(1+EXP(0.1*(D14-650)))</f>
        <v/>
      </c>
    </row>
    <row r="15">
      <c r="A15" s="15" t="inlineStr">
        <is>
          <t>KMS0011</t>
        </is>
      </c>
      <c r="B15" s="15" t="inlineStr">
        <is>
          <t>Anggota 12</t>
        </is>
      </c>
      <c r="C15" s="16" t="n">
        <v>15543914</v>
      </c>
      <c r="D15" s="15" t="n">
        <v>723</v>
      </c>
      <c r="E15" s="15" t="inlineStr">
        <is>
          <t>Aktif</t>
        </is>
      </c>
      <c r="F15" s="16" t="n">
        <v>15107938</v>
      </c>
      <c r="G15" s="16">
        <f>F15*0.8</f>
        <v/>
      </c>
      <c r="H15" s="16">
        <f>F15+G15</f>
        <v/>
      </c>
      <c r="I15" s="15">
        <f>IF(D15&gt;700,"Prime",IF(D15&gt;650,"Good","Fair"))</f>
        <v/>
      </c>
      <c r="J15" s="17">
        <f>1/(1+EXP(0.1*(D15-650)))</f>
        <v/>
      </c>
    </row>
    <row r="16">
      <c r="A16" s="15" t="inlineStr">
        <is>
          <t>KMS0012</t>
        </is>
      </c>
      <c r="B16" s="15" t="inlineStr">
        <is>
          <t>Anggota 13</t>
        </is>
      </c>
      <c r="C16" s="16" t="n">
        <v>13439379</v>
      </c>
      <c r="D16" s="15" t="n">
        <v>651</v>
      </c>
      <c r="E16" s="15" t="inlineStr">
        <is>
          <t>Aktif</t>
        </is>
      </c>
      <c r="F16" s="16" t="n">
        <v>24330923</v>
      </c>
      <c r="G16" s="16">
        <f>F16*0.8</f>
        <v/>
      </c>
      <c r="H16" s="16">
        <f>F16+G16</f>
        <v/>
      </c>
      <c r="I16" s="15">
        <f>IF(D16&gt;700,"Prime",IF(D16&gt;650,"Good","Fair"))</f>
        <v/>
      </c>
      <c r="J16" s="17">
        <f>1/(1+EXP(0.1*(D16-650)))</f>
        <v/>
      </c>
    </row>
    <row r="17">
      <c r="A17" s="15" t="inlineStr">
        <is>
          <t>KMS0013</t>
        </is>
      </c>
      <c r="B17" s="15" t="inlineStr">
        <is>
          <t>Anggota 14</t>
        </is>
      </c>
      <c r="C17" s="16" t="n">
        <v>16966720</v>
      </c>
      <c r="D17" s="15" t="n">
        <v>800</v>
      </c>
      <c r="E17" s="15" t="inlineStr">
        <is>
          <t>Aktif</t>
        </is>
      </c>
      <c r="F17" s="16" t="n">
        <v>26256051</v>
      </c>
      <c r="G17" s="16">
        <f>F17*0.8</f>
        <v/>
      </c>
      <c r="H17" s="16">
        <f>F17+G17</f>
        <v/>
      </c>
      <c r="I17" s="15">
        <f>IF(D17&gt;700,"Prime",IF(D17&gt;650,"Good","Fair"))</f>
        <v/>
      </c>
      <c r="J17" s="17">
        <f>1/(1+EXP(0.1*(D17-650)))</f>
        <v/>
      </c>
    </row>
    <row r="18">
      <c r="A18" s="15" t="inlineStr">
        <is>
          <t>KMS0014</t>
        </is>
      </c>
      <c r="B18" s="15" t="inlineStr">
        <is>
          <t>Anggota 15</t>
        </is>
      </c>
      <c r="C18" s="16" t="n">
        <v>22233138</v>
      </c>
      <c r="D18" s="15" t="n">
        <v>740</v>
      </c>
      <c r="E18" s="15" t="inlineStr">
        <is>
          <t>Aktif</t>
        </is>
      </c>
      <c r="F18" s="16" t="n">
        <v>43796494</v>
      </c>
      <c r="G18" s="16">
        <f>F18*0.8</f>
        <v/>
      </c>
      <c r="H18" s="16">
        <f>F18+G18</f>
        <v/>
      </c>
      <c r="I18" s="15">
        <f>IF(D18&gt;700,"Prime",IF(D18&gt;650,"Good","Fair"))</f>
        <v/>
      </c>
      <c r="J18" s="17">
        <f>1/(1+EXP(0.1*(D18-650)))</f>
        <v/>
      </c>
    </row>
    <row r="19">
      <c r="A19" s="15" t="inlineStr">
        <is>
          <t>KMS0015</t>
        </is>
      </c>
      <c r="B19" s="15" t="inlineStr">
        <is>
          <t>Anggota 16</t>
        </is>
      </c>
      <c r="C19" s="16" t="n">
        <v>29263611</v>
      </c>
      <c r="D19" s="15" t="n">
        <v>569</v>
      </c>
      <c r="E19" s="15" t="inlineStr">
        <is>
          <t>Nonaktif</t>
        </is>
      </c>
      <c r="F19" s="16" t="n">
        <v>23843493</v>
      </c>
      <c r="G19" s="16">
        <f>F19*0.8</f>
        <v/>
      </c>
      <c r="H19" s="16">
        <f>F19+G19</f>
        <v/>
      </c>
      <c r="I19" s="15">
        <f>IF(D19&gt;700,"Prime",IF(D19&gt;650,"Good","Fair"))</f>
        <v/>
      </c>
      <c r="J19" s="17">
        <f>1/(1+EXP(0.1*(D19-650)))</f>
        <v/>
      </c>
    </row>
    <row r="20">
      <c r="A20" s="15" t="inlineStr">
        <is>
          <t>KMS0016</t>
        </is>
      </c>
      <c r="B20" s="15" t="inlineStr">
        <is>
          <t>Anggota 17</t>
        </is>
      </c>
      <c r="C20" s="16" t="n">
        <v>23704936</v>
      </c>
      <c r="D20" s="15" t="n">
        <v>572</v>
      </c>
      <c r="E20" s="15" t="inlineStr">
        <is>
          <t>Nonaktif</t>
        </is>
      </c>
      <c r="F20" s="16" t="n">
        <v>37108912</v>
      </c>
      <c r="G20" s="16">
        <f>F20*0.8</f>
        <v/>
      </c>
      <c r="H20" s="16">
        <f>F20+G20</f>
        <v/>
      </c>
      <c r="I20" s="15">
        <f>IF(D20&gt;700,"Prime",IF(D20&gt;650,"Good","Fair"))</f>
        <v/>
      </c>
      <c r="J20" s="17">
        <f>1/(1+EXP(0.1*(D20-650)))</f>
        <v/>
      </c>
    </row>
    <row r="21">
      <c r="A21" s="15" t="inlineStr">
        <is>
          <t>KMS0017</t>
        </is>
      </c>
      <c r="B21" s="15" t="inlineStr">
        <is>
          <t>Anggota 18</t>
        </is>
      </c>
      <c r="C21" s="16" t="n">
        <v>14650319</v>
      </c>
      <c r="D21" s="15" t="n">
        <v>624</v>
      </c>
      <c r="E21" s="15" t="inlineStr">
        <is>
          <t>Aktif</t>
        </is>
      </c>
      <c r="F21" s="16" t="n">
        <v>31698802</v>
      </c>
      <c r="G21" s="16">
        <f>F21*0.8</f>
        <v/>
      </c>
      <c r="H21" s="16">
        <f>F21+G21</f>
        <v/>
      </c>
      <c r="I21" s="15">
        <f>IF(D21&gt;700,"Prime",IF(D21&gt;650,"Good","Fair"))</f>
        <v/>
      </c>
      <c r="J21" s="17">
        <f>1/(1+EXP(0.1*(D21-650)))</f>
        <v/>
      </c>
    </row>
    <row r="22">
      <c r="A22" s="15" t="inlineStr">
        <is>
          <t>KMS0018</t>
        </is>
      </c>
      <c r="B22" s="15" t="inlineStr">
        <is>
          <t>Anggota 19</t>
        </is>
      </c>
      <c r="C22" s="16" t="n">
        <v>26635731</v>
      </c>
      <c r="D22" s="15" t="n">
        <v>586</v>
      </c>
      <c r="E22" s="15" t="inlineStr">
        <is>
          <t>Nonaktif</t>
        </is>
      </c>
      <c r="F22" s="16" t="n">
        <v>48242998</v>
      </c>
      <c r="G22" s="16">
        <f>F22*0.8</f>
        <v/>
      </c>
      <c r="H22" s="16">
        <f>F22+G22</f>
        <v/>
      </c>
      <c r="I22" s="15">
        <f>IF(D22&gt;700,"Prime",IF(D22&gt;650,"Good","Fair"))</f>
        <v/>
      </c>
      <c r="J22" s="17">
        <f>1/(1+EXP(0.1*(D22-650)))</f>
        <v/>
      </c>
    </row>
    <row r="23">
      <c r="A23" s="15" t="inlineStr">
        <is>
          <t>KMS0019</t>
        </is>
      </c>
      <c r="B23" s="15" t="inlineStr">
        <is>
          <t>Anggota 20</t>
        </is>
      </c>
      <c r="C23" s="16" t="n">
        <v>24375112</v>
      </c>
      <c r="D23" s="15" t="n">
        <v>733</v>
      </c>
      <c r="E23" s="15" t="inlineStr">
        <is>
          <t>Aktif</t>
        </is>
      </c>
      <c r="F23" s="16" t="n">
        <v>21736552</v>
      </c>
      <c r="G23" s="16">
        <f>F23*0.8</f>
        <v/>
      </c>
      <c r="H23" s="16">
        <f>F23+G23</f>
        <v/>
      </c>
      <c r="I23" s="15">
        <f>IF(D23&gt;700,"Prime",IF(D23&gt;650,"Good","Fair"))</f>
        <v/>
      </c>
      <c r="J23" s="17">
        <f>1/(1+EXP(0.1*(D23-650)))</f>
        <v/>
      </c>
    </row>
    <row r="24">
      <c r="A24" s="15" t="inlineStr">
        <is>
          <t>KMS0020</t>
        </is>
      </c>
      <c r="B24" s="15" t="inlineStr">
        <is>
          <t>Anggota 21</t>
        </is>
      </c>
      <c r="C24" s="16" t="n">
        <v>28852581</v>
      </c>
      <c r="D24" s="15" t="n">
        <v>556</v>
      </c>
      <c r="E24" s="15" t="inlineStr">
        <is>
          <t>Nonaktif</t>
        </is>
      </c>
      <c r="F24" s="16" t="n">
        <v>25752742</v>
      </c>
      <c r="G24" s="16">
        <f>F24*0.8</f>
        <v/>
      </c>
      <c r="H24" s="16">
        <f>F24+G24</f>
        <v/>
      </c>
      <c r="I24" s="15">
        <f>IF(D24&gt;700,"Prime",IF(D24&gt;650,"Good","Fair"))</f>
        <v/>
      </c>
      <c r="J24" s="17">
        <f>1/(1+EXP(0.1*(D24-650)))</f>
        <v/>
      </c>
    </row>
    <row r="25">
      <c r="A25" s="15" t="inlineStr">
        <is>
          <t>KMS0021</t>
        </is>
      </c>
      <c r="B25" s="15" t="inlineStr">
        <is>
          <t>Anggota 22</t>
        </is>
      </c>
      <c r="C25" s="16" t="n">
        <v>20471026</v>
      </c>
      <c r="D25" s="15" t="n">
        <v>643</v>
      </c>
      <c r="E25" s="15" t="inlineStr">
        <is>
          <t>Aktif</t>
        </is>
      </c>
      <c r="F25" s="16" t="n">
        <v>29334536</v>
      </c>
      <c r="G25" s="16">
        <f>F25*0.8</f>
        <v/>
      </c>
      <c r="H25" s="16">
        <f>F25+G25</f>
        <v/>
      </c>
      <c r="I25" s="15">
        <f>IF(D25&gt;700,"Prime",IF(D25&gt;650,"Good","Fair"))</f>
        <v/>
      </c>
      <c r="J25" s="17">
        <f>1/(1+EXP(0.1*(D25-650)))</f>
        <v/>
      </c>
    </row>
    <row r="26">
      <c r="A26" s="15" t="inlineStr">
        <is>
          <t>KMS0022</t>
        </is>
      </c>
      <c r="B26" s="15" t="inlineStr">
        <is>
          <t>Anggota 23</t>
        </is>
      </c>
      <c r="C26" s="16" t="n">
        <v>18380612</v>
      </c>
      <c r="D26" s="15" t="n">
        <v>573</v>
      </c>
      <c r="E26" s="15" t="inlineStr">
        <is>
          <t>Nonaktif</t>
        </is>
      </c>
      <c r="F26" s="16" t="n">
        <v>40306857</v>
      </c>
      <c r="G26" s="16">
        <f>F26*0.8</f>
        <v/>
      </c>
      <c r="H26" s="16">
        <f>F26+G26</f>
        <v/>
      </c>
      <c r="I26" s="15">
        <f>IF(D26&gt;700,"Prime",IF(D26&gt;650,"Good","Fair"))</f>
        <v/>
      </c>
      <c r="J26" s="17">
        <f>1/(1+EXP(0.1*(D26-650)))</f>
        <v/>
      </c>
    </row>
    <row r="27">
      <c r="A27" s="15" t="inlineStr">
        <is>
          <t>KMS0023</t>
        </is>
      </c>
      <c r="B27" s="15" t="inlineStr">
        <is>
          <t>Anggota 24</t>
        </is>
      </c>
      <c r="C27" s="16" t="n">
        <v>21725377</v>
      </c>
      <c r="D27" s="15" t="n">
        <v>691</v>
      </c>
      <c r="E27" s="15" t="inlineStr">
        <is>
          <t>Aktif</t>
        </is>
      </c>
      <c r="F27" s="16" t="n">
        <v>8814689</v>
      </c>
      <c r="G27" s="16">
        <f>F27*0.8</f>
        <v/>
      </c>
      <c r="H27" s="16">
        <f>F27+G27</f>
        <v/>
      </c>
      <c r="I27" s="15">
        <f>IF(D27&gt;700,"Prime",IF(D27&gt;650,"Good","Fair"))</f>
        <v/>
      </c>
      <c r="J27" s="17">
        <f>1/(1+EXP(0.1*(D27-650)))</f>
        <v/>
      </c>
    </row>
    <row r="28">
      <c r="A28" s="15" t="inlineStr">
        <is>
          <t>KMS0024</t>
        </is>
      </c>
      <c r="B28" s="15" t="inlineStr">
        <is>
          <t>Anggota 25</t>
        </is>
      </c>
      <c r="C28" s="16" t="n">
        <v>21990580</v>
      </c>
      <c r="D28" s="15" t="n">
        <v>658</v>
      </c>
      <c r="E28" s="15" t="inlineStr">
        <is>
          <t>Aktif</t>
        </is>
      </c>
      <c r="F28" s="16" t="n">
        <v>41276407</v>
      </c>
      <c r="G28" s="16">
        <f>F28*0.8</f>
        <v/>
      </c>
      <c r="H28" s="16">
        <f>F28+G28</f>
        <v/>
      </c>
      <c r="I28" s="15">
        <f>IF(D28&gt;700,"Prime",IF(D28&gt;650,"Good","Fair"))</f>
        <v/>
      </c>
      <c r="J28" s="17">
        <f>1/(1+EXP(0.1*(D28-650)))</f>
        <v/>
      </c>
    </row>
    <row r="29">
      <c r="A29" s="15" t="inlineStr">
        <is>
          <t>KMS0025</t>
        </is>
      </c>
      <c r="B29" s="15" t="inlineStr">
        <is>
          <t>Anggota 26</t>
        </is>
      </c>
      <c r="C29" s="16" t="n">
        <v>21476256</v>
      </c>
      <c r="D29" s="15" t="n">
        <v>774</v>
      </c>
      <c r="E29" s="15" t="inlineStr">
        <is>
          <t>Aktif</t>
        </is>
      </c>
      <c r="F29" s="16" t="n">
        <v>27719287</v>
      </c>
      <c r="G29" s="16">
        <f>F29*0.8</f>
        <v/>
      </c>
      <c r="H29" s="16">
        <f>F29+G29</f>
        <v/>
      </c>
      <c r="I29" s="15">
        <f>IF(D29&gt;700,"Prime",IF(D29&gt;650,"Good","Fair"))</f>
        <v/>
      </c>
      <c r="J29" s="17">
        <f>1/(1+EXP(0.1*(D29-650)))</f>
        <v/>
      </c>
    </row>
    <row r="30">
      <c r="A30" s="15" t="inlineStr">
        <is>
          <t>KMS0026</t>
        </is>
      </c>
      <c r="B30" s="15" t="inlineStr">
        <is>
          <t>Anggota 27</t>
        </is>
      </c>
      <c r="C30" s="16" t="n">
        <v>22604423</v>
      </c>
      <c r="D30" s="15" t="n">
        <v>784</v>
      </c>
      <c r="E30" s="15" t="inlineStr">
        <is>
          <t>Aktif</t>
        </is>
      </c>
      <c r="F30" s="16" t="n">
        <v>18357266</v>
      </c>
      <c r="G30" s="16">
        <f>F30*0.8</f>
        <v/>
      </c>
      <c r="H30" s="16">
        <f>F30+G30</f>
        <v/>
      </c>
      <c r="I30" s="15">
        <f>IF(D30&gt;700,"Prime",IF(D30&gt;650,"Good","Fair"))</f>
        <v/>
      </c>
      <c r="J30" s="17">
        <f>1/(1+EXP(0.1*(D30-650)))</f>
        <v/>
      </c>
    </row>
    <row r="31">
      <c r="A31" s="15" t="inlineStr">
        <is>
          <t>KMS0027</t>
        </is>
      </c>
      <c r="B31" s="15" t="inlineStr">
        <is>
          <t>Anggota 28</t>
        </is>
      </c>
      <c r="C31" s="16" t="n">
        <v>19091725</v>
      </c>
      <c r="D31" s="15" t="n">
        <v>766</v>
      </c>
      <c r="E31" s="15" t="inlineStr">
        <is>
          <t>Aktif</t>
        </is>
      </c>
      <c r="F31" s="16" t="n">
        <v>38849407</v>
      </c>
      <c r="G31" s="16">
        <f>F31*0.8</f>
        <v/>
      </c>
      <c r="H31" s="16">
        <f>F31+G31</f>
        <v/>
      </c>
      <c r="I31" s="15">
        <f>IF(D31&gt;700,"Prime",IF(D31&gt;650,"Good","Fair"))</f>
        <v/>
      </c>
      <c r="J31" s="17">
        <f>1/(1+EXP(0.1*(D31-650)))</f>
        <v/>
      </c>
    </row>
    <row r="32">
      <c r="A32" s="15" t="inlineStr">
        <is>
          <t>KMS0028</t>
        </is>
      </c>
      <c r="B32" s="15" t="inlineStr">
        <is>
          <t>Anggota 29</t>
        </is>
      </c>
      <c r="C32" s="16" t="n">
        <v>21078947</v>
      </c>
      <c r="D32" s="15" t="n">
        <v>787</v>
      </c>
      <c r="E32" s="15" t="inlineStr">
        <is>
          <t>Aktif</t>
        </is>
      </c>
      <c r="F32" s="16" t="n">
        <v>35423452</v>
      </c>
      <c r="G32" s="16">
        <f>F32*0.8</f>
        <v/>
      </c>
      <c r="H32" s="16">
        <f>F32+G32</f>
        <v/>
      </c>
      <c r="I32" s="15">
        <f>IF(D32&gt;700,"Prime",IF(D32&gt;650,"Good","Fair"))</f>
        <v/>
      </c>
      <c r="J32" s="17">
        <f>1/(1+EXP(0.1*(D32-650)))</f>
        <v/>
      </c>
    </row>
    <row r="33">
      <c r="A33" s="15" t="inlineStr">
        <is>
          <t>KMS0029</t>
        </is>
      </c>
      <c r="B33" s="15" t="inlineStr">
        <is>
          <t>Anggota 30</t>
        </is>
      </c>
      <c r="C33" s="16" t="n">
        <v>5851481</v>
      </c>
      <c r="D33" s="15" t="n">
        <v>682</v>
      </c>
      <c r="E33" s="15" t="inlineStr">
        <is>
          <t>Aktif</t>
        </is>
      </c>
      <c r="F33" s="16" t="n">
        <v>39622241</v>
      </c>
      <c r="G33" s="16">
        <f>F33*0.8</f>
        <v/>
      </c>
      <c r="H33" s="16">
        <f>F33+G33</f>
        <v/>
      </c>
      <c r="I33" s="15">
        <f>IF(D33&gt;700,"Prime",IF(D33&gt;650,"Good","Fair"))</f>
        <v/>
      </c>
      <c r="J33" s="17">
        <f>1/(1+EXP(0.1*(D33-650)))</f>
        <v/>
      </c>
    </row>
    <row r="34">
      <c r="A34" s="15" t="inlineStr">
        <is>
          <t>KMS0030</t>
        </is>
      </c>
      <c r="B34" s="15" t="inlineStr">
        <is>
          <t>Anggota 31</t>
        </is>
      </c>
      <c r="C34" s="16" t="n">
        <v>9328483</v>
      </c>
      <c r="D34" s="15" t="n">
        <v>607</v>
      </c>
      <c r="E34" s="15" t="inlineStr">
        <is>
          <t>Aktif</t>
        </is>
      </c>
      <c r="F34" s="16" t="n">
        <v>4280798</v>
      </c>
      <c r="G34" s="16">
        <f>F34*0.8</f>
        <v/>
      </c>
      <c r="H34" s="16">
        <f>F34+G34</f>
        <v/>
      </c>
      <c r="I34" s="15">
        <f>IF(D34&gt;700,"Prime",IF(D34&gt;650,"Good","Fair"))</f>
        <v/>
      </c>
      <c r="J34" s="17">
        <f>1/(1+EXP(0.1*(D34-650)))</f>
        <v/>
      </c>
    </row>
    <row r="35">
      <c r="A35" s="15" t="inlineStr">
        <is>
          <t>KMS0031</t>
        </is>
      </c>
      <c r="B35" s="15" t="inlineStr">
        <is>
          <t>Anggota 32</t>
        </is>
      </c>
      <c r="C35" s="16" t="n">
        <v>28644554</v>
      </c>
      <c r="D35" s="15" t="n">
        <v>796</v>
      </c>
      <c r="E35" s="15" t="inlineStr">
        <is>
          <t>Aktif</t>
        </is>
      </c>
      <c r="F35" s="16" t="n">
        <v>36112467</v>
      </c>
      <c r="G35" s="16">
        <f>F35*0.8</f>
        <v/>
      </c>
      <c r="H35" s="16">
        <f>F35+G35</f>
        <v/>
      </c>
      <c r="I35" s="15">
        <f>IF(D35&gt;700,"Prime",IF(D35&gt;650,"Good","Fair"))</f>
        <v/>
      </c>
      <c r="J35" s="17">
        <f>1/(1+EXP(0.1*(D35-650)))</f>
        <v/>
      </c>
    </row>
    <row r="36">
      <c r="A36" s="15" t="inlineStr">
        <is>
          <t>KMS0032</t>
        </is>
      </c>
      <c r="B36" s="15" t="inlineStr">
        <is>
          <t>Anggota 33</t>
        </is>
      </c>
      <c r="C36" s="16" t="n">
        <v>27497678</v>
      </c>
      <c r="D36" s="15" t="n">
        <v>777</v>
      </c>
      <c r="E36" s="15" t="inlineStr">
        <is>
          <t>Aktif</t>
        </is>
      </c>
      <c r="F36" s="16" t="n">
        <v>7883784</v>
      </c>
      <c r="G36" s="16">
        <f>F36*0.8</f>
        <v/>
      </c>
      <c r="H36" s="16">
        <f>F36+G36</f>
        <v/>
      </c>
      <c r="I36" s="15">
        <f>IF(D36&gt;700,"Prime",IF(D36&gt;650,"Good","Fair"))</f>
        <v/>
      </c>
      <c r="J36" s="17">
        <f>1/(1+EXP(0.1*(D36-650)))</f>
        <v/>
      </c>
    </row>
    <row r="37">
      <c r="A37" s="15" t="inlineStr">
        <is>
          <t>KMS0033</t>
        </is>
      </c>
      <c r="B37" s="15" t="inlineStr">
        <is>
          <t>Anggota 34</t>
        </is>
      </c>
      <c r="C37" s="16" t="n">
        <v>25881248</v>
      </c>
      <c r="D37" s="15" t="n">
        <v>733</v>
      </c>
      <c r="E37" s="15" t="inlineStr">
        <is>
          <t>Aktif</t>
        </is>
      </c>
      <c r="F37" s="16" t="n">
        <v>29817185</v>
      </c>
      <c r="G37" s="16">
        <f>F37*0.8</f>
        <v/>
      </c>
      <c r="H37" s="16">
        <f>F37+G37</f>
        <v/>
      </c>
      <c r="I37" s="15">
        <f>IF(D37&gt;700,"Prime",IF(D37&gt;650,"Good","Fair"))</f>
        <v/>
      </c>
      <c r="J37" s="17">
        <f>1/(1+EXP(0.1*(D37-650)))</f>
        <v/>
      </c>
    </row>
    <row r="38">
      <c r="A38" s="15" t="inlineStr">
        <is>
          <t>KMS0034</t>
        </is>
      </c>
      <c r="B38" s="15" t="inlineStr">
        <is>
          <t>Anggota 35</t>
        </is>
      </c>
      <c r="C38" s="16" t="n">
        <v>9778572</v>
      </c>
      <c r="D38" s="15" t="n">
        <v>670</v>
      </c>
      <c r="E38" s="15" t="inlineStr">
        <is>
          <t>Aktif</t>
        </is>
      </c>
      <c r="F38" s="16" t="n">
        <v>33354063</v>
      </c>
      <c r="G38" s="16">
        <f>F38*0.8</f>
        <v/>
      </c>
      <c r="H38" s="16">
        <f>F38+G38</f>
        <v/>
      </c>
      <c r="I38" s="15">
        <f>IF(D38&gt;700,"Prime",IF(D38&gt;650,"Good","Fair"))</f>
        <v/>
      </c>
      <c r="J38" s="17">
        <f>1/(1+EXP(0.1*(D38-650)))</f>
        <v/>
      </c>
    </row>
    <row r="39">
      <c r="A39" s="15" t="inlineStr">
        <is>
          <t>KMS0035</t>
        </is>
      </c>
      <c r="B39" s="15" t="inlineStr">
        <is>
          <t>Anggota 36</t>
        </is>
      </c>
      <c r="C39" s="16" t="n">
        <v>12681524</v>
      </c>
      <c r="D39" s="15" t="n">
        <v>776</v>
      </c>
      <c r="E39" s="15" t="inlineStr">
        <is>
          <t>Aktif</t>
        </is>
      </c>
      <c r="F39" s="16" t="n">
        <v>9188170</v>
      </c>
      <c r="G39" s="16">
        <f>F39*0.8</f>
        <v/>
      </c>
      <c r="H39" s="16">
        <f>F39+G39</f>
        <v/>
      </c>
      <c r="I39" s="15">
        <f>IF(D39&gt;700,"Prime",IF(D39&gt;650,"Good","Fair"))</f>
        <v/>
      </c>
      <c r="J39" s="17">
        <f>1/(1+EXP(0.1*(D39-650)))</f>
        <v/>
      </c>
    </row>
    <row r="40">
      <c r="A40" s="15" t="inlineStr">
        <is>
          <t>KMS0036</t>
        </is>
      </c>
      <c r="B40" s="15" t="inlineStr">
        <is>
          <t>Anggota 37</t>
        </is>
      </c>
      <c r="C40" s="16" t="n">
        <v>28511836</v>
      </c>
      <c r="D40" s="15" t="n">
        <v>710</v>
      </c>
      <c r="E40" s="15" t="inlineStr">
        <is>
          <t>Aktif</t>
        </is>
      </c>
      <c r="F40" s="16" t="n">
        <v>31655083</v>
      </c>
      <c r="G40" s="16">
        <f>F40*0.8</f>
        <v/>
      </c>
      <c r="H40" s="16">
        <f>F40+G40</f>
        <v/>
      </c>
      <c r="I40" s="15">
        <f>IF(D40&gt;700,"Prime",IF(D40&gt;650,"Good","Fair"))</f>
        <v/>
      </c>
      <c r="J40" s="17">
        <f>1/(1+EXP(0.1*(D40-650)))</f>
        <v/>
      </c>
    </row>
    <row r="41">
      <c r="A41" s="15" t="inlineStr">
        <is>
          <t>KMS0037</t>
        </is>
      </c>
      <c r="B41" s="15" t="inlineStr">
        <is>
          <t>Anggota 38</t>
        </is>
      </c>
      <c r="C41" s="16" t="n">
        <v>20750652</v>
      </c>
      <c r="D41" s="15" t="n">
        <v>722</v>
      </c>
      <c r="E41" s="15" t="inlineStr">
        <is>
          <t>Aktif</t>
        </is>
      </c>
      <c r="F41" s="16" t="n">
        <v>48950847</v>
      </c>
      <c r="G41" s="16">
        <f>F41*0.8</f>
        <v/>
      </c>
      <c r="H41" s="16">
        <f>F41+G41</f>
        <v/>
      </c>
      <c r="I41" s="15">
        <f>IF(D41&gt;700,"Prime",IF(D41&gt;650,"Good","Fair"))</f>
        <v/>
      </c>
      <c r="J41" s="17">
        <f>1/(1+EXP(0.1*(D41-650)))</f>
        <v/>
      </c>
    </row>
    <row r="42">
      <c r="A42" s="15" t="inlineStr">
        <is>
          <t>KMS0038</t>
        </is>
      </c>
      <c r="B42" s="15" t="inlineStr">
        <is>
          <t>Anggota 39</t>
        </is>
      </c>
      <c r="C42" s="16" t="n">
        <v>23308380</v>
      </c>
      <c r="D42" s="15" t="n">
        <v>787</v>
      </c>
      <c r="E42" s="15" t="inlineStr">
        <is>
          <t>Aktif</t>
        </is>
      </c>
      <c r="F42" s="16" t="n">
        <v>17844759</v>
      </c>
      <c r="G42" s="16">
        <f>F42*0.8</f>
        <v/>
      </c>
      <c r="H42" s="16">
        <f>F42+G42</f>
        <v/>
      </c>
      <c r="I42" s="15">
        <f>IF(D42&gt;700,"Prime",IF(D42&gt;650,"Good","Fair"))</f>
        <v/>
      </c>
      <c r="J42" s="17">
        <f>1/(1+EXP(0.1*(D42-650)))</f>
        <v/>
      </c>
    </row>
    <row r="43">
      <c r="A43" s="15" t="inlineStr">
        <is>
          <t>KMS0039</t>
        </is>
      </c>
      <c r="B43" s="15" t="inlineStr">
        <is>
          <t>Anggota 40</t>
        </is>
      </c>
      <c r="C43" s="16" t="n">
        <v>18491576</v>
      </c>
      <c r="D43" s="15" t="n">
        <v>693</v>
      </c>
      <c r="E43" s="15" t="inlineStr">
        <is>
          <t>Aktif</t>
        </is>
      </c>
      <c r="F43" s="16" t="n">
        <v>45946425</v>
      </c>
      <c r="G43" s="16">
        <f>F43*0.8</f>
        <v/>
      </c>
      <c r="H43" s="16">
        <f>F43+G43</f>
        <v/>
      </c>
      <c r="I43" s="15">
        <f>IF(D43&gt;700,"Prime",IF(D43&gt;650,"Good","Fair"))</f>
        <v/>
      </c>
      <c r="J43" s="17">
        <f>1/(1+EXP(0.1*(D43-650)))</f>
        <v/>
      </c>
    </row>
    <row r="44">
      <c r="A44" s="15" t="inlineStr">
        <is>
          <t>KMS0040</t>
        </is>
      </c>
      <c r="B44" s="15" t="inlineStr">
        <is>
          <t>Anggota 41</t>
        </is>
      </c>
      <c r="C44" s="16" t="n">
        <v>23392812</v>
      </c>
      <c r="D44" s="15" t="n">
        <v>628</v>
      </c>
      <c r="E44" s="15" t="inlineStr">
        <is>
          <t>Aktif</t>
        </is>
      </c>
      <c r="F44" s="16" t="n">
        <v>44410243</v>
      </c>
      <c r="G44" s="16">
        <f>F44*0.8</f>
        <v/>
      </c>
      <c r="H44" s="16">
        <f>F44+G44</f>
        <v/>
      </c>
      <c r="I44" s="15">
        <f>IF(D44&gt;700,"Prime",IF(D44&gt;650,"Good","Fair"))</f>
        <v/>
      </c>
      <c r="J44" s="17">
        <f>1/(1+EXP(0.1*(D44-650)))</f>
        <v/>
      </c>
    </row>
    <row r="45">
      <c r="A45" s="15" t="inlineStr">
        <is>
          <t>KMS0041</t>
        </is>
      </c>
      <c r="B45" s="15" t="inlineStr">
        <is>
          <t>Anggota 42</t>
        </is>
      </c>
      <c r="C45" s="16" t="n">
        <v>28431850</v>
      </c>
      <c r="D45" s="15" t="n">
        <v>678</v>
      </c>
      <c r="E45" s="15" t="inlineStr">
        <is>
          <t>Aktif</t>
        </is>
      </c>
      <c r="F45" s="16" t="n">
        <v>33137958</v>
      </c>
      <c r="G45" s="16">
        <f>F45*0.8</f>
        <v/>
      </c>
      <c r="H45" s="16">
        <f>F45+G45</f>
        <v/>
      </c>
      <c r="I45" s="15">
        <f>IF(D45&gt;700,"Prime",IF(D45&gt;650,"Good","Fair"))</f>
        <v/>
      </c>
      <c r="J45" s="17">
        <f>1/(1+EXP(0.1*(D45-650)))</f>
        <v/>
      </c>
    </row>
    <row r="46">
      <c r="A46" s="15" t="inlineStr">
        <is>
          <t>KMS0042</t>
        </is>
      </c>
      <c r="B46" s="15" t="inlineStr">
        <is>
          <t>Anggota 43</t>
        </is>
      </c>
      <c r="C46" s="16" t="n">
        <v>18487138</v>
      </c>
      <c r="D46" s="15" t="n">
        <v>756</v>
      </c>
      <c r="E46" s="15" t="inlineStr">
        <is>
          <t>Aktif</t>
        </is>
      </c>
      <c r="F46" s="16" t="n">
        <v>30062623</v>
      </c>
      <c r="G46" s="16">
        <f>F46*0.8</f>
        <v/>
      </c>
      <c r="H46" s="16">
        <f>F46+G46</f>
        <v/>
      </c>
      <c r="I46" s="15">
        <f>IF(D46&gt;700,"Prime",IF(D46&gt;650,"Good","Fair"))</f>
        <v/>
      </c>
      <c r="J46" s="17">
        <f>1/(1+EXP(0.1*(D46-650)))</f>
        <v/>
      </c>
    </row>
    <row r="47">
      <c r="A47" s="15" t="inlineStr">
        <is>
          <t>KMS0043</t>
        </is>
      </c>
      <c r="B47" s="15" t="inlineStr">
        <is>
          <t>Anggota 44</t>
        </is>
      </c>
      <c r="C47" s="16" t="n">
        <v>14877557</v>
      </c>
      <c r="D47" s="15" t="n">
        <v>601</v>
      </c>
      <c r="E47" s="15" t="inlineStr">
        <is>
          <t>Aktif</t>
        </is>
      </c>
      <c r="F47" s="16" t="n">
        <v>19054696</v>
      </c>
      <c r="G47" s="16">
        <f>F47*0.8</f>
        <v/>
      </c>
      <c r="H47" s="16">
        <f>F47+G47</f>
        <v/>
      </c>
      <c r="I47" s="15">
        <f>IF(D47&gt;700,"Prime",IF(D47&gt;650,"Good","Fair"))</f>
        <v/>
      </c>
      <c r="J47" s="17">
        <f>1/(1+EXP(0.1*(D47-650)))</f>
        <v/>
      </c>
    </row>
    <row r="48">
      <c r="A48" s="15" t="inlineStr">
        <is>
          <t>KMS0044</t>
        </is>
      </c>
      <c r="B48" s="15" t="inlineStr">
        <is>
          <t>Anggota 45</t>
        </is>
      </c>
      <c r="C48" s="16" t="n">
        <v>6110962</v>
      </c>
      <c r="D48" s="15" t="n">
        <v>552</v>
      </c>
      <c r="E48" s="15" t="inlineStr">
        <is>
          <t>Nonaktif</t>
        </is>
      </c>
      <c r="F48" s="16" t="n">
        <v>11055843</v>
      </c>
      <c r="G48" s="16">
        <f>F48*0.8</f>
        <v/>
      </c>
      <c r="H48" s="16">
        <f>F48+G48</f>
        <v/>
      </c>
      <c r="I48" s="15">
        <f>IF(D48&gt;700,"Prime",IF(D48&gt;650,"Good","Fair"))</f>
        <v/>
      </c>
      <c r="J48" s="17">
        <f>1/(1+EXP(0.1*(D48-650)))</f>
        <v/>
      </c>
    </row>
    <row r="49">
      <c r="A49" s="15" t="inlineStr">
        <is>
          <t>KMS0045</t>
        </is>
      </c>
      <c r="B49" s="15" t="inlineStr">
        <is>
          <t>Anggota 46</t>
        </is>
      </c>
      <c r="C49" s="16" t="n">
        <v>25041163</v>
      </c>
      <c r="D49" s="15" t="n">
        <v>717</v>
      </c>
      <c r="E49" s="15" t="inlineStr">
        <is>
          <t>Aktif</t>
        </is>
      </c>
      <c r="F49" s="16" t="n">
        <v>31751123</v>
      </c>
      <c r="G49" s="16">
        <f>F49*0.8</f>
        <v/>
      </c>
      <c r="H49" s="16">
        <f>F49+G49</f>
        <v/>
      </c>
      <c r="I49" s="15">
        <f>IF(D49&gt;700,"Prime",IF(D49&gt;650,"Good","Fair"))</f>
        <v/>
      </c>
      <c r="J49" s="17">
        <f>1/(1+EXP(0.1*(D49-650)))</f>
        <v/>
      </c>
    </row>
    <row r="50">
      <c r="A50" s="15" t="inlineStr">
        <is>
          <t>KMS0046</t>
        </is>
      </c>
      <c r="B50" s="15" t="inlineStr">
        <is>
          <t>Anggota 47</t>
        </is>
      </c>
      <c r="C50" s="16" t="n">
        <v>22545236</v>
      </c>
      <c r="D50" s="15" t="n">
        <v>755</v>
      </c>
      <c r="E50" s="15" t="inlineStr">
        <is>
          <t>Aktif</t>
        </is>
      </c>
      <c r="F50" s="16" t="n">
        <v>33850965</v>
      </c>
      <c r="G50" s="16">
        <f>F50*0.8</f>
        <v/>
      </c>
      <c r="H50" s="16">
        <f>F50+G50</f>
        <v/>
      </c>
      <c r="I50" s="15">
        <f>IF(D50&gt;700,"Prime",IF(D50&gt;650,"Good","Fair"))</f>
        <v/>
      </c>
      <c r="J50" s="17">
        <f>1/(1+EXP(0.1*(D50-650)))</f>
        <v/>
      </c>
    </row>
    <row r="51">
      <c r="A51" s="15" t="inlineStr">
        <is>
          <t>KMS0047</t>
        </is>
      </c>
      <c r="B51" s="15" t="inlineStr">
        <is>
          <t>Anggota 48</t>
        </is>
      </c>
      <c r="C51" s="16" t="n">
        <v>11705436</v>
      </c>
      <c r="D51" s="15" t="n">
        <v>642</v>
      </c>
      <c r="E51" s="15" t="inlineStr">
        <is>
          <t>Aktif</t>
        </is>
      </c>
      <c r="F51" s="16" t="n">
        <v>18455721</v>
      </c>
      <c r="G51" s="16">
        <f>F51*0.8</f>
        <v/>
      </c>
      <c r="H51" s="16">
        <f>F51+G51</f>
        <v/>
      </c>
      <c r="I51" s="15">
        <f>IF(D51&gt;700,"Prime",IF(D51&gt;650,"Good","Fair"))</f>
        <v/>
      </c>
      <c r="J51" s="17">
        <f>1/(1+EXP(0.1*(D51-650)))</f>
        <v/>
      </c>
    </row>
    <row r="52">
      <c r="A52" s="15" t="inlineStr">
        <is>
          <t>KMS0048</t>
        </is>
      </c>
      <c r="B52" s="15" t="inlineStr">
        <is>
          <t>Anggota 49</t>
        </is>
      </c>
      <c r="C52" s="16" t="n">
        <v>21292996</v>
      </c>
      <c r="D52" s="15" t="n">
        <v>727</v>
      </c>
      <c r="E52" s="15" t="inlineStr">
        <is>
          <t>Aktif</t>
        </is>
      </c>
      <c r="F52" s="16" t="n">
        <v>32316761</v>
      </c>
      <c r="G52" s="16">
        <f>F52*0.8</f>
        <v/>
      </c>
      <c r="H52" s="16">
        <f>F52+G52</f>
        <v/>
      </c>
      <c r="I52" s="15">
        <f>IF(D52&gt;700,"Prime",IF(D52&gt;650,"Good","Fair"))</f>
        <v/>
      </c>
      <c r="J52" s="17">
        <f>1/(1+EXP(0.1*(D52-650)))</f>
        <v/>
      </c>
    </row>
    <row r="53">
      <c r="A53" s="15" t="inlineStr">
        <is>
          <t>KMS0049</t>
        </is>
      </c>
      <c r="B53" s="15" t="inlineStr">
        <is>
          <t>Anggota 50</t>
        </is>
      </c>
      <c r="C53" s="16" t="n">
        <v>21681825</v>
      </c>
      <c r="D53" s="15" t="n">
        <v>680</v>
      </c>
      <c r="E53" s="15" t="inlineStr">
        <is>
          <t>Aktif</t>
        </is>
      </c>
      <c r="F53" s="16" t="n">
        <v>30140647</v>
      </c>
      <c r="G53" s="16">
        <f>F53*0.8</f>
        <v/>
      </c>
      <c r="H53" s="16">
        <f>F53+G53</f>
        <v/>
      </c>
      <c r="I53" s="15">
        <f>IF(D53&gt;700,"Prime",IF(D53&gt;650,"Good","Fair"))</f>
        <v/>
      </c>
      <c r="J53" s="17">
        <f>1/(1+EXP(0.1*(D53-650)))</f>
        <v/>
      </c>
    </row>
    <row r="54">
      <c r="A54" s="15" t="inlineStr">
        <is>
          <t>KMS0050</t>
        </is>
      </c>
      <c r="B54" s="15" t="inlineStr">
        <is>
          <t>Anggota 51</t>
        </is>
      </c>
      <c r="C54" s="16" t="n">
        <v>27276704</v>
      </c>
      <c r="D54" s="15" t="n">
        <v>692</v>
      </c>
      <c r="E54" s="15" t="inlineStr">
        <is>
          <t>Aktif</t>
        </is>
      </c>
      <c r="F54" s="16" t="n">
        <v>3256196</v>
      </c>
      <c r="G54" s="16">
        <f>F54*0.8</f>
        <v/>
      </c>
      <c r="H54" s="16">
        <f>F54+G54</f>
        <v/>
      </c>
      <c r="I54" s="15">
        <f>IF(D54&gt;700,"Prime",IF(D54&gt;650,"Good","Fair"))</f>
        <v/>
      </c>
      <c r="J54" s="17">
        <f>1/(1+EXP(0.1*(D54-650)))</f>
        <v/>
      </c>
    </row>
    <row r="55">
      <c r="A55" s="15" t="inlineStr">
        <is>
          <t>KMS0051</t>
        </is>
      </c>
      <c r="B55" s="15" t="inlineStr">
        <is>
          <t>Anggota 52</t>
        </is>
      </c>
      <c r="C55" s="16" t="n">
        <v>14733105</v>
      </c>
      <c r="D55" s="15" t="n">
        <v>762</v>
      </c>
      <c r="E55" s="15" t="inlineStr">
        <is>
          <t>Aktif</t>
        </is>
      </c>
      <c r="F55" s="16" t="n">
        <v>22250498</v>
      </c>
      <c r="G55" s="16">
        <f>F55*0.8</f>
        <v/>
      </c>
      <c r="H55" s="16">
        <f>F55+G55</f>
        <v/>
      </c>
      <c r="I55" s="15">
        <f>IF(D55&gt;700,"Prime",IF(D55&gt;650,"Good","Fair"))</f>
        <v/>
      </c>
      <c r="J55" s="17">
        <f>1/(1+EXP(0.1*(D55-650)))</f>
        <v/>
      </c>
    </row>
    <row r="56">
      <c r="A56" s="15" t="inlineStr">
        <is>
          <t>KMS0052</t>
        </is>
      </c>
      <c r="B56" s="15" t="inlineStr">
        <is>
          <t>Anggota 53</t>
        </is>
      </c>
      <c r="C56" s="16" t="n">
        <v>8300883</v>
      </c>
      <c r="D56" s="15" t="n">
        <v>667</v>
      </c>
      <c r="E56" s="15" t="inlineStr">
        <is>
          <t>Aktif</t>
        </is>
      </c>
      <c r="F56" s="16" t="n">
        <v>30423951</v>
      </c>
      <c r="G56" s="16">
        <f>F56*0.8</f>
        <v/>
      </c>
      <c r="H56" s="16">
        <f>F56+G56</f>
        <v/>
      </c>
      <c r="I56" s="15">
        <f>IF(D56&gt;700,"Prime",IF(D56&gt;650,"Good","Fair"))</f>
        <v/>
      </c>
      <c r="J56" s="17">
        <f>1/(1+EXP(0.1*(D56-650)))</f>
        <v/>
      </c>
    </row>
    <row r="57">
      <c r="A57" s="15" t="inlineStr">
        <is>
          <t>KMS0053</t>
        </is>
      </c>
      <c r="B57" s="15" t="inlineStr">
        <is>
          <t>Anggota 54</t>
        </is>
      </c>
      <c r="C57" s="16" t="n">
        <v>29042369</v>
      </c>
      <c r="D57" s="15" t="n">
        <v>726</v>
      </c>
      <c r="E57" s="15" t="inlineStr">
        <is>
          <t>Aktif</t>
        </is>
      </c>
      <c r="F57" s="16" t="n">
        <v>35572697</v>
      </c>
      <c r="G57" s="16">
        <f>F57*0.8</f>
        <v/>
      </c>
      <c r="H57" s="16">
        <f>F57+G57</f>
        <v/>
      </c>
      <c r="I57" s="15">
        <f>IF(D57&gt;700,"Prime",IF(D57&gt;650,"Good","Fair"))</f>
        <v/>
      </c>
      <c r="J57" s="17">
        <f>1/(1+EXP(0.1*(D57-650)))</f>
        <v/>
      </c>
    </row>
    <row r="58">
      <c r="A58" s="15" t="inlineStr">
        <is>
          <t>KMS0054</t>
        </is>
      </c>
      <c r="B58" s="15" t="inlineStr">
        <is>
          <t>Anggota 55</t>
        </is>
      </c>
      <c r="C58" s="16" t="n">
        <v>20197496</v>
      </c>
      <c r="D58" s="15" t="n">
        <v>616</v>
      </c>
      <c r="E58" s="15" t="inlineStr">
        <is>
          <t>Aktif</t>
        </is>
      </c>
      <c r="F58" s="16" t="n">
        <v>13284199</v>
      </c>
      <c r="G58" s="16">
        <f>F58*0.8</f>
        <v/>
      </c>
      <c r="H58" s="16">
        <f>F58+G58</f>
        <v/>
      </c>
      <c r="I58" s="15">
        <f>IF(D58&gt;700,"Prime",IF(D58&gt;650,"Good","Fair"))</f>
        <v/>
      </c>
      <c r="J58" s="17">
        <f>1/(1+EXP(0.1*(D58-650)))</f>
        <v/>
      </c>
    </row>
    <row r="59">
      <c r="A59" s="15" t="inlineStr">
        <is>
          <t>KMS0055</t>
        </is>
      </c>
      <c r="B59" s="15" t="inlineStr">
        <is>
          <t>Anggota 56</t>
        </is>
      </c>
      <c r="C59" s="16" t="n">
        <v>19286689</v>
      </c>
      <c r="D59" s="15" t="n">
        <v>797</v>
      </c>
      <c r="E59" s="15" t="inlineStr">
        <is>
          <t>Aktif</t>
        </is>
      </c>
      <c r="F59" s="16" t="n">
        <v>49853533</v>
      </c>
      <c r="G59" s="16">
        <f>F59*0.8</f>
        <v/>
      </c>
      <c r="H59" s="16">
        <f>F59+G59</f>
        <v/>
      </c>
      <c r="I59" s="15">
        <f>IF(D59&gt;700,"Prime",IF(D59&gt;650,"Good","Fair"))</f>
        <v/>
      </c>
      <c r="J59" s="17">
        <f>1/(1+EXP(0.1*(D59-650)))</f>
        <v/>
      </c>
    </row>
    <row r="60">
      <c r="A60" s="15" t="inlineStr">
        <is>
          <t>KMS0056</t>
        </is>
      </c>
      <c r="B60" s="15" t="inlineStr">
        <is>
          <t>Anggota 57</t>
        </is>
      </c>
      <c r="C60" s="16" t="n">
        <v>7157387</v>
      </c>
      <c r="D60" s="15" t="n">
        <v>672</v>
      </c>
      <c r="E60" s="15" t="inlineStr">
        <is>
          <t>Aktif</t>
        </is>
      </c>
      <c r="F60" s="16" t="n">
        <v>44523335</v>
      </c>
      <c r="G60" s="16">
        <f>F60*0.8</f>
        <v/>
      </c>
      <c r="H60" s="16">
        <f>F60+G60</f>
        <v/>
      </c>
      <c r="I60" s="15">
        <f>IF(D60&gt;700,"Prime",IF(D60&gt;650,"Good","Fair"))</f>
        <v/>
      </c>
      <c r="J60" s="17">
        <f>1/(1+EXP(0.1*(D60-650)))</f>
        <v/>
      </c>
    </row>
    <row r="61">
      <c r="A61" s="15" t="inlineStr">
        <is>
          <t>KMS0057</t>
        </is>
      </c>
      <c r="B61" s="15" t="inlineStr">
        <is>
          <t>Anggota 58</t>
        </is>
      </c>
      <c r="C61" s="16" t="n">
        <v>21724225</v>
      </c>
      <c r="D61" s="15" t="n">
        <v>618</v>
      </c>
      <c r="E61" s="15" t="inlineStr">
        <is>
          <t>Aktif</t>
        </is>
      </c>
      <c r="F61" s="16" t="n">
        <v>25838921</v>
      </c>
      <c r="G61" s="16">
        <f>F61*0.8</f>
        <v/>
      </c>
      <c r="H61" s="16">
        <f>F61+G61</f>
        <v/>
      </c>
      <c r="I61" s="15">
        <f>IF(D61&gt;700,"Prime",IF(D61&gt;650,"Good","Fair"))</f>
        <v/>
      </c>
      <c r="J61" s="17">
        <f>1/(1+EXP(0.1*(D61-650)))</f>
        <v/>
      </c>
    </row>
    <row r="62">
      <c r="A62" s="15" t="inlineStr">
        <is>
          <t>KMS0058</t>
        </is>
      </c>
      <c r="B62" s="15" t="inlineStr">
        <is>
          <t>Anggota 59</t>
        </is>
      </c>
      <c r="C62" s="16" t="n">
        <v>11529243</v>
      </c>
      <c r="D62" s="15" t="n">
        <v>574</v>
      </c>
      <c r="E62" s="15" t="inlineStr">
        <is>
          <t>Nonaktif</t>
        </is>
      </c>
      <c r="F62" s="16" t="n">
        <v>28602603</v>
      </c>
      <c r="G62" s="16">
        <f>F62*0.8</f>
        <v/>
      </c>
      <c r="H62" s="16">
        <f>F62+G62</f>
        <v/>
      </c>
      <c r="I62" s="15">
        <f>IF(D62&gt;700,"Prime",IF(D62&gt;650,"Good","Fair"))</f>
        <v/>
      </c>
      <c r="J62" s="17">
        <f>1/(1+EXP(0.1*(D62-650)))</f>
        <v/>
      </c>
    </row>
    <row r="63">
      <c r="A63" s="15" t="inlineStr">
        <is>
          <t>KMS0059</t>
        </is>
      </c>
      <c r="B63" s="15" t="inlineStr">
        <is>
          <t>Anggota 60</t>
        </is>
      </c>
      <c r="C63" s="16" t="n">
        <v>20079187</v>
      </c>
      <c r="D63" s="15" t="n">
        <v>587</v>
      </c>
      <c r="E63" s="15" t="inlineStr">
        <is>
          <t>Nonaktif</t>
        </is>
      </c>
      <c r="F63" s="16" t="n">
        <v>1941708</v>
      </c>
      <c r="G63" s="16">
        <f>F63*0.8</f>
        <v/>
      </c>
      <c r="H63" s="16">
        <f>F63+G63</f>
        <v/>
      </c>
      <c r="I63" s="15">
        <f>IF(D63&gt;700,"Prime",IF(D63&gt;650,"Good","Fair"))</f>
        <v/>
      </c>
      <c r="J63" s="17">
        <f>1/(1+EXP(0.1*(D63-650)))</f>
        <v/>
      </c>
    </row>
    <row r="64">
      <c r="A64" s="15" t="inlineStr">
        <is>
          <t>KMS0060</t>
        </is>
      </c>
      <c r="B64" s="15" t="inlineStr">
        <is>
          <t>Anggota 61</t>
        </is>
      </c>
      <c r="C64" s="16" t="n">
        <v>5007179</v>
      </c>
      <c r="D64" s="15" t="n">
        <v>573</v>
      </c>
      <c r="E64" s="15" t="inlineStr">
        <is>
          <t>Nonaktif</t>
        </is>
      </c>
      <c r="F64" s="16" t="n">
        <v>31281554</v>
      </c>
      <c r="G64" s="16">
        <f>F64*0.8</f>
        <v/>
      </c>
      <c r="H64" s="16">
        <f>F64+G64</f>
        <v/>
      </c>
      <c r="I64" s="15">
        <f>IF(D64&gt;700,"Prime",IF(D64&gt;650,"Good","Fair"))</f>
        <v/>
      </c>
      <c r="J64" s="17">
        <f>1/(1+EXP(0.1*(D64-650)))</f>
        <v/>
      </c>
    </row>
    <row r="65">
      <c r="A65" s="15" t="inlineStr">
        <is>
          <t>KMS0061</t>
        </is>
      </c>
      <c r="B65" s="15" t="inlineStr">
        <is>
          <t>Anggota 62</t>
        </is>
      </c>
      <c r="C65" s="16" t="n">
        <v>23340534</v>
      </c>
      <c r="D65" s="15" t="n">
        <v>698</v>
      </c>
      <c r="E65" s="15" t="inlineStr">
        <is>
          <t>Aktif</t>
        </is>
      </c>
      <c r="F65" s="16" t="n">
        <v>6574435</v>
      </c>
      <c r="G65" s="16">
        <f>F65*0.8</f>
        <v/>
      </c>
      <c r="H65" s="16">
        <f>F65+G65</f>
        <v/>
      </c>
      <c r="I65" s="15">
        <f>IF(D65&gt;700,"Prime",IF(D65&gt;650,"Good","Fair"))</f>
        <v/>
      </c>
      <c r="J65" s="17">
        <f>1/(1+EXP(0.1*(D65-650)))</f>
        <v/>
      </c>
    </row>
    <row r="66">
      <c r="A66" s="15" t="inlineStr">
        <is>
          <t>KMS0062</t>
        </is>
      </c>
      <c r="B66" s="15" t="inlineStr">
        <is>
          <t>Anggota 63</t>
        </is>
      </c>
      <c r="C66" s="16" t="n">
        <v>11670342</v>
      </c>
      <c r="D66" s="15" t="n">
        <v>706</v>
      </c>
      <c r="E66" s="15" t="inlineStr">
        <is>
          <t>Aktif</t>
        </is>
      </c>
      <c r="F66" s="16" t="n">
        <v>17632100</v>
      </c>
      <c r="G66" s="16">
        <f>F66*0.8</f>
        <v/>
      </c>
      <c r="H66" s="16">
        <f>F66+G66</f>
        <v/>
      </c>
      <c r="I66" s="15">
        <f>IF(D66&gt;700,"Prime",IF(D66&gt;650,"Good","Fair"))</f>
        <v/>
      </c>
      <c r="J66" s="17">
        <f>1/(1+EXP(0.1*(D66-650)))</f>
        <v/>
      </c>
    </row>
    <row r="67">
      <c r="A67" s="15" t="inlineStr">
        <is>
          <t>KMS0063</t>
        </is>
      </c>
      <c r="B67" s="15" t="inlineStr">
        <is>
          <t>Anggota 64</t>
        </is>
      </c>
      <c r="C67" s="16" t="n">
        <v>25839807</v>
      </c>
      <c r="D67" s="15" t="n">
        <v>580</v>
      </c>
      <c r="E67" s="15" t="inlineStr">
        <is>
          <t>Nonaktif</t>
        </is>
      </c>
      <c r="F67" s="16" t="n">
        <v>3997019</v>
      </c>
      <c r="G67" s="16">
        <f>F67*0.8</f>
        <v/>
      </c>
      <c r="H67" s="16">
        <f>F67+G67</f>
        <v/>
      </c>
      <c r="I67" s="15">
        <f>IF(D67&gt;700,"Prime",IF(D67&gt;650,"Good","Fair"))</f>
        <v/>
      </c>
      <c r="J67" s="17">
        <f>1/(1+EXP(0.1*(D67-650)))</f>
        <v/>
      </c>
    </row>
    <row r="68">
      <c r="A68" s="15" t="inlineStr">
        <is>
          <t>KMS0064</t>
        </is>
      </c>
      <c r="B68" s="15" t="inlineStr">
        <is>
          <t>Anggota 65</t>
        </is>
      </c>
      <c r="C68" s="16" t="n">
        <v>23335772</v>
      </c>
      <c r="D68" s="15" t="n">
        <v>742</v>
      </c>
      <c r="E68" s="15" t="inlineStr">
        <is>
          <t>Aktif</t>
        </is>
      </c>
      <c r="F68" s="16" t="n">
        <v>19021175</v>
      </c>
      <c r="G68" s="16">
        <f>F68*0.8</f>
        <v/>
      </c>
      <c r="H68" s="16">
        <f>F68+G68</f>
        <v/>
      </c>
      <c r="I68" s="15">
        <f>IF(D68&gt;700,"Prime",IF(D68&gt;650,"Good","Fair"))</f>
        <v/>
      </c>
      <c r="J68" s="17">
        <f>1/(1+EXP(0.1*(D68-650)))</f>
        <v/>
      </c>
    </row>
    <row r="69">
      <c r="A69" s="15" t="inlineStr">
        <is>
          <t>KMS0065</t>
        </is>
      </c>
      <c r="B69" s="15" t="inlineStr">
        <is>
          <t>Anggota 66</t>
        </is>
      </c>
      <c r="C69" s="16" t="n">
        <v>26320770</v>
      </c>
      <c r="D69" s="15" t="n">
        <v>721</v>
      </c>
      <c r="E69" s="15" t="inlineStr">
        <is>
          <t>Aktif</t>
        </is>
      </c>
      <c r="F69" s="16" t="n">
        <v>24974684</v>
      </c>
      <c r="G69" s="16">
        <f>F69*0.8</f>
        <v/>
      </c>
      <c r="H69" s="16">
        <f>F69+G69</f>
        <v/>
      </c>
      <c r="I69" s="15">
        <f>IF(D69&gt;700,"Prime",IF(D69&gt;650,"Good","Fair"))</f>
        <v/>
      </c>
      <c r="J69" s="17">
        <f>1/(1+EXP(0.1*(D69-650)))</f>
        <v/>
      </c>
    </row>
    <row r="70">
      <c r="A70" s="15" t="inlineStr">
        <is>
          <t>KMS0066</t>
        </is>
      </c>
      <c r="B70" s="15" t="inlineStr">
        <is>
          <t>Anggota 67</t>
        </is>
      </c>
      <c r="C70" s="16" t="n">
        <v>5172171</v>
      </c>
      <c r="D70" s="15" t="n">
        <v>589</v>
      </c>
      <c r="E70" s="15" t="inlineStr">
        <is>
          <t>Nonaktif</t>
        </is>
      </c>
      <c r="F70" s="16" t="n">
        <v>22034785</v>
      </c>
      <c r="G70" s="16">
        <f>F70*0.8</f>
        <v/>
      </c>
      <c r="H70" s="16">
        <f>F70+G70</f>
        <v/>
      </c>
      <c r="I70" s="15">
        <f>IF(D70&gt;700,"Prime",IF(D70&gt;650,"Good","Fair"))</f>
        <v/>
      </c>
      <c r="J70" s="17">
        <f>1/(1+EXP(0.1*(D70-650)))</f>
        <v/>
      </c>
    </row>
    <row r="71">
      <c r="A71" s="15" t="inlineStr">
        <is>
          <t>KMS0067</t>
        </is>
      </c>
      <c r="B71" s="15" t="inlineStr">
        <is>
          <t>Anggota 68</t>
        </is>
      </c>
      <c r="C71" s="16" t="n">
        <v>24564429</v>
      </c>
      <c r="D71" s="15" t="n">
        <v>720</v>
      </c>
      <c r="E71" s="15" t="inlineStr">
        <is>
          <t>Aktif</t>
        </is>
      </c>
      <c r="F71" s="16" t="n">
        <v>39539519</v>
      </c>
      <c r="G71" s="16">
        <f>F71*0.8</f>
        <v/>
      </c>
      <c r="H71" s="16">
        <f>F71+G71</f>
        <v/>
      </c>
      <c r="I71" s="15">
        <f>IF(D71&gt;700,"Prime",IF(D71&gt;650,"Good","Fair"))</f>
        <v/>
      </c>
      <c r="J71" s="17">
        <f>1/(1+EXP(0.1*(D71-650)))</f>
        <v/>
      </c>
    </row>
    <row r="72">
      <c r="A72" s="15" t="inlineStr">
        <is>
          <t>KMS0068</t>
        </is>
      </c>
      <c r="B72" s="15" t="inlineStr">
        <is>
          <t>Anggota 69</t>
        </is>
      </c>
      <c r="C72" s="16" t="n">
        <v>21508408</v>
      </c>
      <c r="D72" s="15" t="n">
        <v>746</v>
      </c>
      <c r="E72" s="15" t="inlineStr">
        <is>
          <t>Aktif</t>
        </is>
      </c>
      <c r="F72" s="16" t="n">
        <v>47288782</v>
      </c>
      <c r="G72" s="16">
        <f>F72*0.8</f>
        <v/>
      </c>
      <c r="H72" s="16">
        <f>F72+G72</f>
        <v/>
      </c>
      <c r="I72" s="15">
        <f>IF(D72&gt;700,"Prime",IF(D72&gt;650,"Good","Fair"))</f>
        <v/>
      </c>
      <c r="J72" s="17">
        <f>1/(1+EXP(0.1*(D72-650)))</f>
        <v/>
      </c>
    </row>
    <row r="73">
      <c r="A73" s="15" t="inlineStr">
        <is>
          <t>KMS0069</t>
        </is>
      </c>
      <c r="B73" s="15" t="inlineStr">
        <is>
          <t>Anggota 70</t>
        </is>
      </c>
      <c r="C73" s="16" t="n">
        <v>9525304</v>
      </c>
      <c r="D73" s="15" t="n">
        <v>734</v>
      </c>
      <c r="E73" s="15" t="inlineStr">
        <is>
          <t>Aktif</t>
        </is>
      </c>
      <c r="F73" s="16" t="n">
        <v>37628260</v>
      </c>
      <c r="G73" s="16">
        <f>F73*0.8</f>
        <v/>
      </c>
      <c r="H73" s="16">
        <f>F73+G73</f>
        <v/>
      </c>
      <c r="I73" s="15">
        <f>IF(D73&gt;700,"Prime",IF(D73&gt;650,"Good","Fair"))</f>
        <v/>
      </c>
      <c r="J73" s="17">
        <f>1/(1+EXP(0.1*(D73-650)))</f>
        <v/>
      </c>
    </row>
    <row r="74">
      <c r="A74" s="15" t="inlineStr">
        <is>
          <t>KMS0070</t>
        </is>
      </c>
      <c r="B74" s="15" t="inlineStr">
        <is>
          <t>Anggota 71</t>
        </is>
      </c>
      <c r="C74" s="16" t="n">
        <v>20870693</v>
      </c>
      <c r="D74" s="15" t="n">
        <v>607</v>
      </c>
      <c r="E74" s="15" t="inlineStr">
        <is>
          <t>Aktif</t>
        </is>
      </c>
      <c r="F74" s="16" t="n">
        <v>40455617</v>
      </c>
      <c r="G74" s="16">
        <f>F74*0.8</f>
        <v/>
      </c>
      <c r="H74" s="16">
        <f>F74+G74</f>
        <v/>
      </c>
      <c r="I74" s="15">
        <f>IF(D74&gt;700,"Prime",IF(D74&gt;650,"Good","Fair"))</f>
        <v/>
      </c>
      <c r="J74" s="17">
        <f>1/(1+EXP(0.1*(D74-650)))</f>
        <v/>
      </c>
    </row>
    <row r="75">
      <c r="A75" s="15" t="inlineStr">
        <is>
          <t>KMS0071</t>
        </is>
      </c>
      <c r="B75" s="15" t="inlineStr">
        <is>
          <t>Anggota 72</t>
        </is>
      </c>
      <c r="C75" s="16" t="n">
        <v>25070127</v>
      </c>
      <c r="D75" s="15" t="n">
        <v>583</v>
      </c>
      <c r="E75" s="15" t="inlineStr">
        <is>
          <t>Nonaktif</t>
        </is>
      </c>
      <c r="F75" s="16" t="n">
        <v>47476003</v>
      </c>
      <c r="G75" s="16">
        <f>F75*0.8</f>
        <v/>
      </c>
      <c r="H75" s="16">
        <f>F75+G75</f>
        <v/>
      </c>
      <c r="I75" s="15">
        <f>IF(D75&gt;700,"Prime",IF(D75&gt;650,"Good","Fair"))</f>
        <v/>
      </c>
      <c r="J75" s="17">
        <f>1/(1+EXP(0.1*(D75-650)))</f>
        <v/>
      </c>
    </row>
    <row r="76">
      <c r="A76" s="15" t="inlineStr">
        <is>
          <t>KMS0072</t>
        </is>
      </c>
      <c r="B76" s="15" t="inlineStr">
        <is>
          <t>Anggota 73</t>
        </is>
      </c>
      <c r="C76" s="16" t="n">
        <v>14753607</v>
      </c>
      <c r="D76" s="15" t="n">
        <v>679</v>
      </c>
      <c r="E76" s="15" t="inlineStr">
        <is>
          <t>Aktif</t>
        </is>
      </c>
      <c r="F76" s="16" t="n">
        <v>6666216</v>
      </c>
      <c r="G76" s="16">
        <f>F76*0.8</f>
        <v/>
      </c>
      <c r="H76" s="16">
        <f>F76+G76</f>
        <v/>
      </c>
      <c r="I76" s="15">
        <f>IF(D76&gt;700,"Prime",IF(D76&gt;650,"Good","Fair"))</f>
        <v/>
      </c>
      <c r="J76" s="17">
        <f>1/(1+EXP(0.1*(D76-650)))</f>
        <v/>
      </c>
    </row>
    <row r="77">
      <c r="A77" s="15" t="inlineStr">
        <is>
          <t>KMS0073</t>
        </is>
      </c>
      <c r="B77" s="15" t="inlineStr">
        <is>
          <t>Anggota 74</t>
        </is>
      </c>
      <c r="C77" s="16" t="n">
        <v>27432979</v>
      </c>
      <c r="D77" s="15" t="n">
        <v>656</v>
      </c>
      <c r="E77" s="15" t="inlineStr">
        <is>
          <t>Aktif</t>
        </is>
      </c>
      <c r="F77" s="16" t="n">
        <v>11745572</v>
      </c>
      <c r="G77" s="16">
        <f>F77*0.8</f>
        <v/>
      </c>
      <c r="H77" s="16">
        <f>F77+G77</f>
        <v/>
      </c>
      <c r="I77" s="15">
        <f>IF(D77&gt;700,"Prime",IF(D77&gt;650,"Good","Fair"))</f>
        <v/>
      </c>
      <c r="J77" s="17">
        <f>1/(1+EXP(0.1*(D77-650)))</f>
        <v/>
      </c>
    </row>
    <row r="78">
      <c r="A78" s="15" t="inlineStr">
        <is>
          <t>KMS0074</t>
        </is>
      </c>
      <c r="B78" s="15" t="inlineStr">
        <is>
          <t>Anggota 75</t>
        </is>
      </c>
      <c r="C78" s="16" t="n">
        <v>9541462</v>
      </c>
      <c r="D78" s="15" t="n">
        <v>789</v>
      </c>
      <c r="E78" s="15" t="inlineStr">
        <is>
          <t>Aktif</t>
        </is>
      </c>
      <c r="F78" s="16" t="n">
        <v>40327753</v>
      </c>
      <c r="G78" s="16">
        <f>F78*0.8</f>
        <v/>
      </c>
      <c r="H78" s="16">
        <f>F78+G78</f>
        <v/>
      </c>
      <c r="I78" s="15">
        <f>IF(D78&gt;700,"Prime",IF(D78&gt;650,"Good","Fair"))</f>
        <v/>
      </c>
      <c r="J78" s="17">
        <f>1/(1+EXP(0.1*(D78-650)))</f>
        <v/>
      </c>
    </row>
    <row r="79">
      <c r="A79" s="15" t="inlineStr">
        <is>
          <t>KMS0075</t>
        </is>
      </c>
      <c r="B79" s="15" t="inlineStr">
        <is>
          <t>Anggota 76</t>
        </is>
      </c>
      <c r="C79" s="16" t="n">
        <v>22035648</v>
      </c>
      <c r="D79" s="15" t="n">
        <v>628</v>
      </c>
      <c r="E79" s="15" t="inlineStr">
        <is>
          <t>Aktif</t>
        </is>
      </c>
      <c r="F79" s="16" t="n">
        <v>28651479</v>
      </c>
      <c r="G79" s="16">
        <f>F79*0.8</f>
        <v/>
      </c>
      <c r="H79" s="16">
        <f>F79+G79</f>
        <v/>
      </c>
      <c r="I79" s="15">
        <f>IF(D79&gt;700,"Prime",IF(D79&gt;650,"Good","Fair"))</f>
        <v/>
      </c>
      <c r="J79" s="17">
        <f>1/(1+EXP(0.1*(D79-650)))</f>
        <v/>
      </c>
    </row>
    <row r="80">
      <c r="A80" s="15" t="inlineStr">
        <is>
          <t>KMS0076</t>
        </is>
      </c>
      <c r="B80" s="15" t="inlineStr">
        <is>
          <t>Anggota 77</t>
        </is>
      </c>
      <c r="C80" s="16" t="n">
        <v>9984051</v>
      </c>
      <c r="D80" s="15" t="n">
        <v>649</v>
      </c>
      <c r="E80" s="15" t="inlineStr">
        <is>
          <t>Aktif</t>
        </is>
      </c>
      <c r="F80" s="16" t="n">
        <v>35898684</v>
      </c>
      <c r="G80" s="16">
        <f>F80*0.8</f>
        <v/>
      </c>
      <c r="H80" s="16">
        <f>F80+G80</f>
        <v/>
      </c>
      <c r="I80" s="15">
        <f>IF(D80&gt;700,"Prime",IF(D80&gt;650,"Good","Fair"))</f>
        <v/>
      </c>
      <c r="J80" s="17">
        <f>1/(1+EXP(0.1*(D80-650)))</f>
        <v/>
      </c>
    </row>
    <row r="81">
      <c r="A81" s="15" t="inlineStr">
        <is>
          <t>KMS0077</t>
        </is>
      </c>
      <c r="B81" s="15" t="inlineStr">
        <is>
          <t>Anggota 78</t>
        </is>
      </c>
      <c r="C81" s="16" t="n">
        <v>11600059</v>
      </c>
      <c r="D81" s="15" t="n">
        <v>756</v>
      </c>
      <c r="E81" s="15" t="inlineStr">
        <is>
          <t>Aktif</t>
        </is>
      </c>
      <c r="F81" s="16" t="n">
        <v>26233348</v>
      </c>
      <c r="G81" s="16">
        <f>F81*0.8</f>
        <v/>
      </c>
      <c r="H81" s="16">
        <f>F81+G81</f>
        <v/>
      </c>
      <c r="I81" s="15">
        <f>IF(D81&gt;700,"Prime",IF(D81&gt;650,"Good","Fair"))</f>
        <v/>
      </c>
      <c r="J81" s="17">
        <f>1/(1+EXP(0.1*(D81-650)))</f>
        <v/>
      </c>
    </row>
    <row r="82">
      <c r="A82" s="15" t="inlineStr">
        <is>
          <t>KMS0078</t>
        </is>
      </c>
      <c r="B82" s="15" t="inlineStr">
        <is>
          <t>Anggota 79</t>
        </is>
      </c>
      <c r="C82" s="16" t="n">
        <v>8561264</v>
      </c>
      <c r="D82" s="15" t="n">
        <v>553</v>
      </c>
      <c r="E82" s="15" t="inlineStr">
        <is>
          <t>Nonaktif</t>
        </is>
      </c>
      <c r="F82" s="16" t="n">
        <v>27128700</v>
      </c>
      <c r="G82" s="16">
        <f>F82*0.8</f>
        <v/>
      </c>
      <c r="H82" s="16">
        <f>F82+G82</f>
        <v/>
      </c>
      <c r="I82" s="15">
        <f>IF(D82&gt;700,"Prime",IF(D82&gt;650,"Good","Fair"))</f>
        <v/>
      </c>
      <c r="J82" s="17">
        <f>1/(1+EXP(0.1*(D82-650)))</f>
        <v/>
      </c>
    </row>
    <row r="83">
      <c r="A83" s="15" t="inlineStr">
        <is>
          <t>KMS0079</t>
        </is>
      </c>
      <c r="B83" s="15" t="inlineStr">
        <is>
          <t>Anggota 80</t>
        </is>
      </c>
      <c r="C83" s="16" t="n">
        <v>7464013</v>
      </c>
      <c r="D83" s="15" t="n">
        <v>777</v>
      </c>
      <c r="E83" s="15" t="inlineStr">
        <is>
          <t>Aktif</t>
        </is>
      </c>
      <c r="F83" s="16" t="n">
        <v>4447742</v>
      </c>
      <c r="G83" s="16">
        <f>F83*0.8</f>
        <v/>
      </c>
      <c r="H83" s="16">
        <f>F83+G83</f>
        <v/>
      </c>
      <c r="I83" s="15">
        <f>IF(D83&gt;700,"Prime",IF(D83&gt;650,"Good","Fair"))</f>
        <v/>
      </c>
      <c r="J83" s="17">
        <f>1/(1+EXP(0.1*(D83-650)))</f>
        <v/>
      </c>
    </row>
    <row r="84">
      <c r="A84" s="15" t="inlineStr">
        <is>
          <t>KMS0080</t>
        </is>
      </c>
      <c r="B84" s="15" t="inlineStr">
        <is>
          <t>Anggota 81</t>
        </is>
      </c>
      <c r="C84" s="16" t="n">
        <v>16643986</v>
      </c>
      <c r="D84" s="15" t="n">
        <v>763</v>
      </c>
      <c r="E84" s="15" t="inlineStr">
        <is>
          <t>Aktif</t>
        </is>
      </c>
      <c r="F84" s="16" t="n">
        <v>44370609</v>
      </c>
      <c r="G84" s="16">
        <f>F84*0.8</f>
        <v/>
      </c>
      <c r="H84" s="16">
        <f>F84+G84</f>
        <v/>
      </c>
      <c r="I84" s="15">
        <f>IF(D84&gt;700,"Prime",IF(D84&gt;650,"Good","Fair"))</f>
        <v/>
      </c>
      <c r="J84" s="17">
        <f>1/(1+EXP(0.1*(D84-650)))</f>
        <v/>
      </c>
    </row>
    <row r="85">
      <c r="A85" s="15" t="inlineStr">
        <is>
          <t>KMS0081</t>
        </is>
      </c>
      <c r="B85" s="15" t="inlineStr">
        <is>
          <t>Anggota 82</t>
        </is>
      </c>
      <c r="C85" s="16" t="n">
        <v>5865376</v>
      </c>
      <c r="D85" s="15" t="n">
        <v>640</v>
      </c>
      <c r="E85" s="15" t="inlineStr">
        <is>
          <t>Aktif</t>
        </is>
      </c>
      <c r="F85" s="16" t="n">
        <v>2716798</v>
      </c>
      <c r="G85" s="16">
        <f>F85*0.8</f>
        <v/>
      </c>
      <c r="H85" s="16">
        <f>F85+G85</f>
        <v/>
      </c>
      <c r="I85" s="15">
        <f>IF(D85&gt;700,"Prime",IF(D85&gt;650,"Good","Fair"))</f>
        <v/>
      </c>
      <c r="J85" s="17">
        <f>1/(1+EXP(0.1*(D85-650)))</f>
        <v/>
      </c>
    </row>
    <row r="86">
      <c r="A86" s="15" t="inlineStr">
        <is>
          <t>KMS0082</t>
        </is>
      </c>
      <c r="B86" s="15" t="inlineStr">
        <is>
          <t>Anggota 83</t>
        </is>
      </c>
      <c r="C86" s="16" t="n">
        <v>20972729</v>
      </c>
      <c r="D86" s="15" t="n">
        <v>680</v>
      </c>
      <c r="E86" s="15" t="inlineStr">
        <is>
          <t>Aktif</t>
        </is>
      </c>
      <c r="F86" s="16" t="n">
        <v>22995604</v>
      </c>
      <c r="G86" s="16">
        <f>F86*0.8</f>
        <v/>
      </c>
      <c r="H86" s="16">
        <f>F86+G86</f>
        <v/>
      </c>
      <c r="I86" s="15">
        <f>IF(D86&gt;700,"Prime",IF(D86&gt;650,"Good","Fair"))</f>
        <v/>
      </c>
      <c r="J86" s="17">
        <f>1/(1+EXP(0.1*(D86-650)))</f>
        <v/>
      </c>
    </row>
    <row r="87">
      <c r="A87" s="15" t="inlineStr">
        <is>
          <t>KMS0083</t>
        </is>
      </c>
      <c r="B87" s="15" t="inlineStr">
        <is>
          <t>Anggota 84</t>
        </is>
      </c>
      <c r="C87" s="16" t="n">
        <v>15189532</v>
      </c>
      <c r="D87" s="15" t="n">
        <v>724</v>
      </c>
      <c r="E87" s="15" t="inlineStr">
        <is>
          <t>Aktif</t>
        </is>
      </c>
      <c r="F87" s="16" t="n">
        <v>31208409</v>
      </c>
      <c r="G87" s="16">
        <f>F87*0.8</f>
        <v/>
      </c>
      <c r="H87" s="16">
        <f>F87+G87</f>
        <v/>
      </c>
      <c r="I87" s="15">
        <f>IF(D87&gt;700,"Prime",IF(D87&gt;650,"Good","Fair"))</f>
        <v/>
      </c>
      <c r="J87" s="17">
        <f>1/(1+EXP(0.1*(D87-650)))</f>
        <v/>
      </c>
    </row>
    <row r="88">
      <c r="A88" s="15" t="inlineStr">
        <is>
          <t>KMS0084</t>
        </is>
      </c>
      <c r="B88" s="15" t="inlineStr">
        <is>
          <t>Anggota 85</t>
        </is>
      </c>
      <c r="C88" s="16" t="n">
        <v>9072596</v>
      </c>
      <c r="D88" s="15" t="n">
        <v>633</v>
      </c>
      <c r="E88" s="15" t="inlineStr">
        <is>
          <t>Aktif</t>
        </is>
      </c>
      <c r="F88" s="16" t="n">
        <v>34391335</v>
      </c>
      <c r="G88" s="16">
        <f>F88*0.8</f>
        <v/>
      </c>
      <c r="H88" s="16">
        <f>F88+G88</f>
        <v/>
      </c>
      <c r="I88" s="15">
        <f>IF(D88&gt;700,"Prime",IF(D88&gt;650,"Good","Fair"))</f>
        <v/>
      </c>
      <c r="J88" s="17">
        <f>1/(1+EXP(0.1*(D88-650)))</f>
        <v/>
      </c>
    </row>
    <row r="89">
      <c r="A89" s="15" t="inlineStr">
        <is>
          <t>KMS0085</t>
        </is>
      </c>
      <c r="B89" s="15" t="inlineStr">
        <is>
          <t>Anggota 86</t>
        </is>
      </c>
      <c r="C89" s="16" t="n">
        <v>20655921</v>
      </c>
      <c r="D89" s="15" t="n">
        <v>792</v>
      </c>
      <c r="E89" s="15" t="inlineStr">
        <is>
          <t>Aktif</t>
        </is>
      </c>
      <c r="F89" s="16" t="n">
        <v>39360649</v>
      </c>
      <c r="G89" s="16">
        <f>F89*0.8</f>
        <v/>
      </c>
      <c r="H89" s="16">
        <f>F89+G89</f>
        <v/>
      </c>
      <c r="I89" s="15">
        <f>IF(D89&gt;700,"Prime",IF(D89&gt;650,"Good","Fair"))</f>
        <v/>
      </c>
      <c r="J89" s="17">
        <f>1/(1+EXP(0.1*(D89-650)))</f>
        <v/>
      </c>
    </row>
    <row r="90">
      <c r="A90" s="15" t="inlineStr">
        <is>
          <t>KMS0086</t>
        </is>
      </c>
      <c r="B90" s="15" t="inlineStr">
        <is>
          <t>Anggota 87</t>
        </is>
      </c>
      <c r="C90" s="16" t="n">
        <v>10728869</v>
      </c>
      <c r="D90" s="15" t="n">
        <v>708</v>
      </c>
      <c r="E90" s="15" t="inlineStr">
        <is>
          <t>Aktif</t>
        </is>
      </c>
      <c r="F90" s="16" t="n">
        <v>11327422</v>
      </c>
      <c r="G90" s="16">
        <f>F90*0.8</f>
        <v/>
      </c>
      <c r="H90" s="16">
        <f>F90+G90</f>
        <v/>
      </c>
      <c r="I90" s="15">
        <f>IF(D90&gt;700,"Prime",IF(D90&gt;650,"Good","Fair"))</f>
        <v/>
      </c>
      <c r="J90" s="17">
        <f>1/(1+EXP(0.1*(D90-650)))</f>
        <v/>
      </c>
    </row>
    <row r="91">
      <c r="A91" s="15" t="inlineStr">
        <is>
          <t>KMS0087</t>
        </is>
      </c>
      <c r="B91" s="15" t="inlineStr">
        <is>
          <t>Anggota 88</t>
        </is>
      </c>
      <c r="C91" s="16" t="n">
        <v>22435343</v>
      </c>
      <c r="D91" s="15" t="n">
        <v>701</v>
      </c>
      <c r="E91" s="15" t="inlineStr">
        <is>
          <t>Aktif</t>
        </is>
      </c>
      <c r="F91" s="16" t="n">
        <v>14890571</v>
      </c>
      <c r="G91" s="16">
        <f>F91*0.8</f>
        <v/>
      </c>
      <c r="H91" s="16">
        <f>F91+G91</f>
        <v/>
      </c>
      <c r="I91" s="15">
        <f>IF(D91&gt;700,"Prime",IF(D91&gt;650,"Good","Fair"))</f>
        <v/>
      </c>
      <c r="J91" s="17">
        <f>1/(1+EXP(0.1*(D91-650)))</f>
        <v/>
      </c>
    </row>
    <row r="92">
      <c r="A92" s="15" t="inlineStr">
        <is>
          <t>KMS0088</t>
        </is>
      </c>
      <c r="B92" s="15" t="inlineStr">
        <is>
          <t>Anggota 89</t>
        </is>
      </c>
      <c r="C92" s="16" t="n">
        <v>25915922</v>
      </c>
      <c r="D92" s="15" t="n">
        <v>661</v>
      </c>
      <c r="E92" s="15" t="inlineStr">
        <is>
          <t>Aktif</t>
        </is>
      </c>
      <c r="F92" s="16" t="n">
        <v>23576687</v>
      </c>
      <c r="G92" s="16">
        <f>F92*0.8</f>
        <v/>
      </c>
      <c r="H92" s="16">
        <f>F92+G92</f>
        <v/>
      </c>
      <c r="I92" s="15">
        <f>IF(D92&gt;700,"Prime",IF(D92&gt;650,"Good","Fair"))</f>
        <v/>
      </c>
      <c r="J92" s="17">
        <f>1/(1+EXP(0.1*(D92-650)))</f>
        <v/>
      </c>
    </row>
    <row r="93">
      <c r="A93" s="15" t="inlineStr">
        <is>
          <t>KMS0089</t>
        </is>
      </c>
      <c r="B93" s="15" t="inlineStr">
        <is>
          <t>Anggota 90</t>
        </is>
      </c>
      <c r="C93" s="16" t="n">
        <v>25072919</v>
      </c>
      <c r="D93" s="15" t="n">
        <v>667</v>
      </c>
      <c r="E93" s="15" t="inlineStr">
        <is>
          <t>Aktif</t>
        </is>
      </c>
      <c r="F93" s="16" t="n">
        <v>16658276</v>
      </c>
      <c r="G93" s="16">
        <f>F93*0.8</f>
        <v/>
      </c>
      <c r="H93" s="16">
        <f>F93+G93</f>
        <v/>
      </c>
      <c r="I93" s="15">
        <f>IF(D93&gt;700,"Prime",IF(D93&gt;650,"Good","Fair"))</f>
        <v/>
      </c>
      <c r="J93" s="17">
        <f>1/(1+EXP(0.1*(D93-650)))</f>
        <v/>
      </c>
    </row>
    <row r="94">
      <c r="A94" s="15" t="inlineStr">
        <is>
          <t>KMS0090</t>
        </is>
      </c>
      <c r="B94" s="15" t="inlineStr">
        <is>
          <t>Anggota 91</t>
        </is>
      </c>
      <c r="C94" s="16" t="n">
        <v>28853264</v>
      </c>
      <c r="D94" s="15" t="n">
        <v>723</v>
      </c>
      <c r="E94" s="15" t="inlineStr">
        <is>
          <t>Aktif</t>
        </is>
      </c>
      <c r="F94" s="16" t="n">
        <v>5664634</v>
      </c>
      <c r="G94" s="16">
        <f>F94*0.8</f>
        <v/>
      </c>
      <c r="H94" s="16">
        <f>F94+G94</f>
        <v/>
      </c>
      <c r="I94" s="15">
        <f>IF(D94&gt;700,"Prime",IF(D94&gt;650,"Good","Fair"))</f>
        <v/>
      </c>
      <c r="J94" s="17">
        <f>1/(1+EXP(0.1*(D94-650)))</f>
        <v/>
      </c>
    </row>
    <row r="95">
      <c r="A95" s="15" t="inlineStr">
        <is>
          <t>KMS0091</t>
        </is>
      </c>
      <c r="B95" s="15" t="inlineStr">
        <is>
          <t>Anggota 92</t>
        </is>
      </c>
      <c r="C95" s="16" t="n">
        <v>18393488</v>
      </c>
      <c r="D95" s="15" t="n">
        <v>690</v>
      </c>
      <c r="E95" s="15" t="inlineStr">
        <is>
          <t>Aktif</t>
        </is>
      </c>
      <c r="F95" s="16" t="n">
        <v>3291948</v>
      </c>
      <c r="G95" s="16">
        <f>F95*0.8</f>
        <v/>
      </c>
      <c r="H95" s="16">
        <f>F95+G95</f>
        <v/>
      </c>
      <c r="I95" s="15">
        <f>IF(D95&gt;700,"Prime",IF(D95&gt;650,"Good","Fair"))</f>
        <v/>
      </c>
      <c r="J95" s="17">
        <f>1/(1+EXP(0.1*(D95-650)))</f>
        <v/>
      </c>
    </row>
    <row r="96">
      <c r="A96" s="15" t="inlineStr">
        <is>
          <t>KMS0092</t>
        </is>
      </c>
      <c r="B96" s="15" t="inlineStr">
        <is>
          <t>Anggota 93</t>
        </is>
      </c>
      <c r="C96" s="16" t="n">
        <v>26717450</v>
      </c>
      <c r="D96" s="15" t="n">
        <v>600</v>
      </c>
      <c r="E96" s="15" t="inlineStr">
        <is>
          <t>Nonaktif</t>
        </is>
      </c>
      <c r="F96" s="16" t="n">
        <v>12634255</v>
      </c>
      <c r="G96" s="16">
        <f>F96*0.8</f>
        <v/>
      </c>
      <c r="H96" s="16">
        <f>F96+G96</f>
        <v/>
      </c>
      <c r="I96" s="15">
        <f>IF(D96&gt;700,"Prime",IF(D96&gt;650,"Good","Fair"))</f>
        <v/>
      </c>
      <c r="J96" s="17">
        <f>1/(1+EXP(0.1*(D96-650)))</f>
        <v/>
      </c>
    </row>
    <row r="97">
      <c r="A97" s="15" t="inlineStr">
        <is>
          <t>KMS0093</t>
        </is>
      </c>
      <c r="B97" s="15" t="inlineStr">
        <is>
          <t>Anggota 94</t>
        </is>
      </c>
      <c r="C97" s="16" t="n">
        <v>26751016</v>
      </c>
      <c r="D97" s="15" t="n">
        <v>561</v>
      </c>
      <c r="E97" s="15" t="inlineStr">
        <is>
          <t>Nonaktif</t>
        </is>
      </c>
      <c r="F97" s="16" t="n">
        <v>37558656</v>
      </c>
      <c r="G97" s="16">
        <f>F97*0.8</f>
        <v/>
      </c>
      <c r="H97" s="16">
        <f>F97+G97</f>
        <v/>
      </c>
      <c r="I97" s="15">
        <f>IF(D97&gt;700,"Prime",IF(D97&gt;650,"Good","Fair"))</f>
        <v/>
      </c>
      <c r="J97" s="17">
        <f>1/(1+EXP(0.1*(D97-650)))</f>
        <v/>
      </c>
    </row>
    <row r="98">
      <c r="A98" s="15" t="inlineStr">
        <is>
          <t>KMS0094</t>
        </is>
      </c>
      <c r="B98" s="15" t="inlineStr">
        <is>
          <t>Anggota 95</t>
        </is>
      </c>
      <c r="C98" s="16" t="n">
        <v>6616902</v>
      </c>
      <c r="D98" s="15" t="n">
        <v>788</v>
      </c>
      <c r="E98" s="15" t="inlineStr">
        <is>
          <t>Aktif</t>
        </is>
      </c>
      <c r="F98" s="16" t="n">
        <v>31321184</v>
      </c>
      <c r="G98" s="16">
        <f>F98*0.8</f>
        <v/>
      </c>
      <c r="H98" s="16">
        <f>F98+G98</f>
        <v/>
      </c>
      <c r="I98" s="15">
        <f>IF(D98&gt;700,"Prime",IF(D98&gt;650,"Good","Fair"))</f>
        <v/>
      </c>
      <c r="J98" s="17">
        <f>1/(1+EXP(0.1*(D98-650)))</f>
        <v/>
      </c>
    </row>
    <row r="99">
      <c r="A99" s="15" t="inlineStr">
        <is>
          <t>KMS0095</t>
        </is>
      </c>
      <c r="B99" s="15" t="inlineStr">
        <is>
          <t>Anggota 96</t>
        </is>
      </c>
      <c r="C99" s="16" t="n">
        <v>26503449</v>
      </c>
      <c r="D99" s="15" t="n">
        <v>772</v>
      </c>
      <c r="E99" s="15" t="inlineStr">
        <is>
          <t>Aktif</t>
        </is>
      </c>
      <c r="F99" s="16" t="n">
        <v>13651986</v>
      </c>
      <c r="G99" s="16">
        <f>F99*0.8</f>
        <v/>
      </c>
      <c r="H99" s="16">
        <f>F99+G99</f>
        <v/>
      </c>
      <c r="I99" s="15">
        <f>IF(D99&gt;700,"Prime",IF(D99&gt;650,"Good","Fair"))</f>
        <v/>
      </c>
      <c r="J99" s="17">
        <f>1/(1+EXP(0.1*(D99-650)))</f>
        <v/>
      </c>
    </row>
    <row r="100">
      <c r="A100" s="15" t="inlineStr">
        <is>
          <t>KMS0096</t>
        </is>
      </c>
      <c r="B100" s="15" t="inlineStr">
        <is>
          <t>Anggota 97</t>
        </is>
      </c>
      <c r="C100" s="16" t="n">
        <v>28855372</v>
      </c>
      <c r="D100" s="15" t="n">
        <v>673</v>
      </c>
      <c r="E100" s="15" t="inlineStr">
        <is>
          <t>Aktif</t>
        </is>
      </c>
      <c r="F100" s="16" t="n">
        <v>46542395</v>
      </c>
      <c r="G100" s="16">
        <f>F100*0.8</f>
        <v/>
      </c>
      <c r="H100" s="16">
        <f>F100+G100</f>
        <v/>
      </c>
      <c r="I100" s="15">
        <f>IF(D100&gt;700,"Prime",IF(D100&gt;650,"Good","Fair"))</f>
        <v/>
      </c>
      <c r="J100" s="17">
        <f>1/(1+EXP(0.1*(D100-650)))</f>
        <v/>
      </c>
    </row>
    <row r="101">
      <c r="A101" s="15" t="inlineStr">
        <is>
          <t>KMS0097</t>
        </is>
      </c>
      <c r="B101" s="15" t="inlineStr">
        <is>
          <t>Anggota 98</t>
        </is>
      </c>
      <c r="C101" s="16" t="n">
        <v>5686853</v>
      </c>
      <c r="D101" s="15" t="n">
        <v>774</v>
      </c>
      <c r="E101" s="15" t="inlineStr">
        <is>
          <t>Aktif</t>
        </is>
      </c>
      <c r="F101" s="16" t="n">
        <v>9666423</v>
      </c>
      <c r="G101" s="16">
        <f>F101*0.8</f>
        <v/>
      </c>
      <c r="H101" s="16">
        <f>F101+G101</f>
        <v/>
      </c>
      <c r="I101" s="15">
        <f>IF(D101&gt;700,"Prime",IF(D101&gt;650,"Good","Fair"))</f>
        <v/>
      </c>
      <c r="J101" s="17">
        <f>1/(1+EXP(0.1*(D101-650)))</f>
        <v/>
      </c>
    </row>
    <row r="102">
      <c r="A102" s="15" t="inlineStr">
        <is>
          <t>KMS0098</t>
        </is>
      </c>
      <c r="B102" s="15" t="inlineStr">
        <is>
          <t>Anggota 99</t>
        </is>
      </c>
      <c r="C102" s="16" t="n">
        <v>22781720</v>
      </c>
      <c r="D102" s="15" t="n">
        <v>715</v>
      </c>
      <c r="E102" s="15" t="inlineStr">
        <is>
          <t>Aktif</t>
        </is>
      </c>
      <c r="F102" s="16" t="n">
        <v>15678287</v>
      </c>
      <c r="G102" s="16">
        <f>F102*0.8</f>
        <v/>
      </c>
      <c r="H102" s="16">
        <f>F102+G102</f>
        <v/>
      </c>
      <c r="I102" s="15">
        <f>IF(D102&gt;700,"Prime",IF(D102&gt;650,"Good","Fair"))</f>
        <v/>
      </c>
      <c r="J102" s="17">
        <f>1/(1+EXP(0.1*(D102-650)))</f>
        <v/>
      </c>
    </row>
    <row r="103">
      <c r="A103" s="15" t="inlineStr">
        <is>
          <t>KMS0099</t>
        </is>
      </c>
      <c r="B103" s="15" t="inlineStr">
        <is>
          <t>Anggota 100</t>
        </is>
      </c>
      <c r="C103" s="16" t="n">
        <v>22342697</v>
      </c>
      <c r="D103" s="15" t="n">
        <v>751</v>
      </c>
      <c r="E103" s="15" t="inlineStr">
        <is>
          <t>Aktif</t>
        </is>
      </c>
      <c r="F103" s="16" t="n">
        <v>10242350</v>
      </c>
      <c r="G103" s="16">
        <f>F103*0.8</f>
        <v/>
      </c>
      <c r="H103" s="16">
        <f>F103+G103</f>
        <v/>
      </c>
      <c r="I103" s="15">
        <f>IF(D103&gt;700,"Prime",IF(D103&gt;650,"Good","Fair"))</f>
        <v/>
      </c>
      <c r="J103" s="17">
        <f>1/(1+EXP(0.1*(D103-650)))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2026-05-05T19:10:10Z</dcterms:created>
  <dcterms:modified xsi:type="dcterms:W3CDTF">2026-05-05T19:10:10Z</dcterms:modified>
</cp:coreProperties>
</file>